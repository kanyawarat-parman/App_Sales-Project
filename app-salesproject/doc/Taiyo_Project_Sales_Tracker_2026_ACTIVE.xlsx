
<file path=[Content_Types].xml><?xml version="1.0" encoding="utf-8"?>
<Types xmlns="http://schemas.openxmlformats.org/package/2006/content-types">
  <Override PartName="/xl/charts/chart6.xml" ContentType="application/vnd.openxmlformats-officedocument.drawingml.chart+xml"/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" yWindow="588" windowWidth="22716" windowHeight="8676" activeTab="7"/>
  </bookViews>
  <sheets>
    <sheet name="⚙ Control Panel" sheetId="1" r:id="rId1"/>
    <sheet name="📈 Summary Dashboard" sheetId="2" r:id="rId2"/>
    <sheet name="👤 Mew" sheetId="3" r:id="rId3"/>
    <sheet name="👤 Napat" sheetId="4" r:id="rId4"/>
    <sheet name="👤 Tan" sheetId="5" r:id="rId5"/>
    <sheet name="👤 Aoey" sheetId="6" r:id="rId6"/>
    <sheet name="👤 Other Sales" sheetId="7" r:id="rId7"/>
    <sheet name="นำเข้า" sheetId="8" r:id="rId8"/>
  </sheets>
  <definedNames>
    <definedName name="_xlnm.Print_Titles" localSheetId="2">'👤 Mew'!$41:$41</definedName>
  </definedNames>
  <calcPr calcId="125725"/>
</workbook>
</file>

<file path=xl/calcChain.xml><?xml version="1.0" encoding="utf-8"?>
<calcChain xmlns="http://schemas.openxmlformats.org/spreadsheetml/2006/main">
  <c r="K141" i="7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C15" i="2" s="1"/>
  <c r="K42" i="7"/>
  <c r="V15"/>
  <c r="U15"/>
  <c r="F15"/>
  <c r="D15"/>
  <c r="C15"/>
  <c r="B15"/>
  <c r="V14"/>
  <c r="U14"/>
  <c r="D14"/>
  <c r="C14"/>
  <c r="B14"/>
  <c r="V13"/>
  <c r="U13"/>
  <c r="I13"/>
  <c r="H13"/>
  <c r="G13"/>
  <c r="D13"/>
  <c r="C13"/>
  <c r="B13"/>
  <c r="V12"/>
  <c r="U12"/>
  <c r="I12"/>
  <c r="H12"/>
  <c r="G12"/>
  <c r="D12"/>
  <c r="C12"/>
  <c r="B12"/>
  <c r="V11"/>
  <c r="U11"/>
  <c r="I11"/>
  <c r="H11"/>
  <c r="G11"/>
  <c r="D11"/>
  <c r="C11"/>
  <c r="B11"/>
  <c r="V10"/>
  <c r="U10"/>
  <c r="V9"/>
  <c r="U9"/>
  <c r="V8"/>
  <c r="U8"/>
  <c r="V7"/>
  <c r="U7"/>
  <c r="V6"/>
  <c r="U6"/>
  <c r="M6"/>
  <c r="I6"/>
  <c r="A6"/>
  <c r="V5"/>
  <c r="U5"/>
  <c r="V4"/>
  <c r="U4"/>
  <c r="K141" i="6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C14" i="2" s="1"/>
  <c r="K45" i="6"/>
  <c r="K44"/>
  <c r="K43"/>
  <c r="E6" s="1"/>
  <c r="K42"/>
  <c r="V15"/>
  <c r="U15"/>
  <c r="F15"/>
  <c r="D15"/>
  <c r="C15"/>
  <c r="B15"/>
  <c r="V14"/>
  <c r="U14"/>
  <c r="D14"/>
  <c r="C14"/>
  <c r="B14"/>
  <c r="V13"/>
  <c r="U13"/>
  <c r="I13"/>
  <c r="H13"/>
  <c r="G13"/>
  <c r="D13"/>
  <c r="C13"/>
  <c r="B13"/>
  <c r="V12"/>
  <c r="U12"/>
  <c r="I12"/>
  <c r="H12"/>
  <c r="G12"/>
  <c r="D12"/>
  <c r="C12"/>
  <c r="B12"/>
  <c r="V11"/>
  <c r="U11"/>
  <c r="I11"/>
  <c r="H11"/>
  <c r="G11"/>
  <c r="D11"/>
  <c r="C11"/>
  <c r="B11"/>
  <c r="V10"/>
  <c r="U10"/>
  <c r="V9"/>
  <c r="U9"/>
  <c r="V8"/>
  <c r="U8"/>
  <c r="V7"/>
  <c r="U7"/>
  <c r="V6"/>
  <c r="U6"/>
  <c r="M6"/>
  <c r="I6"/>
  <c r="A6"/>
  <c r="V5"/>
  <c r="U5"/>
  <c r="V4"/>
  <c r="U4"/>
  <c r="K151" i="5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C13" i="2" s="1"/>
  <c r="K55" i="5"/>
  <c r="K54"/>
  <c r="K53"/>
  <c r="E6" s="1"/>
  <c r="K52"/>
  <c r="V15"/>
  <c r="U15"/>
  <c r="F15"/>
  <c r="D15"/>
  <c r="C15"/>
  <c r="B15"/>
  <c r="V14"/>
  <c r="U14"/>
  <c r="D14"/>
  <c r="C14"/>
  <c r="B14"/>
  <c r="V13"/>
  <c r="U13"/>
  <c r="I13"/>
  <c r="H13"/>
  <c r="G13"/>
  <c r="D13"/>
  <c r="C13"/>
  <c r="B13"/>
  <c r="V12"/>
  <c r="U12"/>
  <c r="I12"/>
  <c r="H12"/>
  <c r="G12"/>
  <c r="D12"/>
  <c r="C12"/>
  <c r="B12"/>
  <c r="V11"/>
  <c r="U11"/>
  <c r="I11"/>
  <c r="H11"/>
  <c r="G11"/>
  <c r="D11"/>
  <c r="C11"/>
  <c r="B11"/>
  <c r="V10"/>
  <c r="U10"/>
  <c r="V9"/>
  <c r="U9"/>
  <c r="V8"/>
  <c r="U8"/>
  <c r="V7"/>
  <c r="U7"/>
  <c r="V6"/>
  <c r="U6"/>
  <c r="M6"/>
  <c r="I6"/>
  <c r="A6"/>
  <c r="V5"/>
  <c r="U5"/>
  <c r="V4"/>
  <c r="U4"/>
  <c r="K144" i="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E6" s="1"/>
  <c r="K42"/>
  <c r="C12" i="2" s="1"/>
  <c r="V15" i="4"/>
  <c r="U15"/>
  <c r="F15"/>
  <c r="D15"/>
  <c r="C15"/>
  <c r="B15"/>
  <c r="V14"/>
  <c r="U14"/>
  <c r="D14"/>
  <c r="C14"/>
  <c r="B14"/>
  <c r="V13"/>
  <c r="U13"/>
  <c r="I13"/>
  <c r="H13"/>
  <c r="G13"/>
  <c r="D13"/>
  <c r="C13"/>
  <c r="B13"/>
  <c r="V12"/>
  <c r="U12"/>
  <c r="I12"/>
  <c r="H12"/>
  <c r="G12"/>
  <c r="D12"/>
  <c r="C12"/>
  <c r="B12"/>
  <c r="V11"/>
  <c r="U11"/>
  <c r="I11"/>
  <c r="H11"/>
  <c r="G11"/>
  <c r="D11"/>
  <c r="C11"/>
  <c r="B11"/>
  <c r="V10"/>
  <c r="U10"/>
  <c r="V9"/>
  <c r="U9"/>
  <c r="V8"/>
  <c r="U8"/>
  <c r="V7"/>
  <c r="U7"/>
  <c r="V6"/>
  <c r="U6"/>
  <c r="M6"/>
  <c r="I6"/>
  <c r="A6"/>
  <c r="V5"/>
  <c r="U5"/>
  <c r="V4"/>
  <c r="U4"/>
  <c r="K228" i="3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E6" s="1"/>
  <c r="K42"/>
  <c r="C11" i="2" s="1"/>
  <c r="U15" i="3"/>
  <c r="T15"/>
  <c r="F15"/>
  <c r="D15"/>
  <c r="C15"/>
  <c r="B15"/>
  <c r="U14"/>
  <c r="T14"/>
  <c r="D14"/>
  <c r="C14"/>
  <c r="B14"/>
  <c r="U13"/>
  <c r="T13"/>
  <c r="I13"/>
  <c r="H13"/>
  <c r="G13"/>
  <c r="D13"/>
  <c r="C13"/>
  <c r="B13"/>
  <c r="U12"/>
  <c r="T12"/>
  <c r="I12"/>
  <c r="H12"/>
  <c r="G12"/>
  <c r="D12"/>
  <c r="C12"/>
  <c r="B12"/>
  <c r="U11"/>
  <c r="T11"/>
  <c r="I11"/>
  <c r="H11"/>
  <c r="G11"/>
  <c r="D11"/>
  <c r="C11"/>
  <c r="B11"/>
  <c r="U10"/>
  <c r="T10"/>
  <c r="U9"/>
  <c r="T9"/>
  <c r="U8"/>
  <c r="T8"/>
  <c r="U7"/>
  <c r="T7"/>
  <c r="U6"/>
  <c r="T6"/>
  <c r="M6"/>
  <c r="I6"/>
  <c r="A6"/>
  <c r="U5"/>
  <c r="T5"/>
  <c r="U4"/>
  <c r="T4"/>
  <c r="D63" i="2"/>
  <c r="C63"/>
  <c r="B63"/>
  <c r="D62"/>
  <c r="C62"/>
  <c r="B62"/>
  <c r="D61"/>
  <c r="C61"/>
  <c r="B61"/>
  <c r="D60"/>
  <c r="C60"/>
  <c r="B60"/>
  <c r="D59"/>
  <c r="C59"/>
  <c r="B59"/>
  <c r="D54"/>
  <c r="C54"/>
  <c r="B54"/>
  <c r="D53"/>
  <c r="C53"/>
  <c r="B53"/>
  <c r="D52"/>
  <c r="C52"/>
  <c r="B52"/>
  <c r="F48"/>
  <c r="E48"/>
  <c r="D48"/>
  <c r="C48"/>
  <c r="B48"/>
  <c r="G48" s="1"/>
  <c r="I47"/>
  <c r="H47"/>
  <c r="G47"/>
  <c r="F47"/>
  <c r="E47"/>
  <c r="D47"/>
  <c r="C47"/>
  <c r="B47"/>
  <c r="I46"/>
  <c r="H46"/>
  <c r="F46"/>
  <c r="E46"/>
  <c r="D46"/>
  <c r="C46"/>
  <c r="B46"/>
  <c r="G46" s="1"/>
  <c r="I45"/>
  <c r="H45"/>
  <c r="G45"/>
  <c r="F45"/>
  <c r="E45"/>
  <c r="D45"/>
  <c r="C45"/>
  <c r="B45"/>
  <c r="I44"/>
  <c r="H44"/>
  <c r="F44"/>
  <c r="E44"/>
  <c r="D44"/>
  <c r="C44"/>
  <c r="B44"/>
  <c r="G44" s="1"/>
  <c r="I43"/>
  <c r="H43"/>
  <c r="G43"/>
  <c r="F43"/>
  <c r="E43"/>
  <c r="D43"/>
  <c r="C43"/>
  <c r="B43"/>
  <c r="V15"/>
  <c r="U15"/>
  <c r="J15"/>
  <c r="I15"/>
  <c r="H15"/>
  <c r="G15"/>
  <c r="D15"/>
  <c r="F15" s="1"/>
  <c r="B15"/>
  <c r="V14"/>
  <c r="U14"/>
  <c r="J14"/>
  <c r="I14"/>
  <c r="H14"/>
  <c r="G14"/>
  <c r="E14"/>
  <c r="D14"/>
  <c r="F14" s="1"/>
  <c r="B14"/>
  <c r="V13"/>
  <c r="U13"/>
  <c r="J13"/>
  <c r="I13"/>
  <c r="H13"/>
  <c r="G13"/>
  <c r="G16" s="1"/>
  <c r="E13"/>
  <c r="M5" s="1"/>
  <c r="D13"/>
  <c r="F13" s="1"/>
  <c r="B13"/>
  <c r="V12"/>
  <c r="U12"/>
  <c r="J12"/>
  <c r="I12"/>
  <c r="H12"/>
  <c r="G12"/>
  <c r="E12"/>
  <c r="D12"/>
  <c r="F12" s="1"/>
  <c r="B12"/>
  <c r="B16" s="1"/>
  <c r="V11"/>
  <c r="U11"/>
  <c r="J11"/>
  <c r="J16" s="1"/>
  <c r="I11"/>
  <c r="I16" s="1"/>
  <c r="H11"/>
  <c r="H16" s="1"/>
  <c r="G11"/>
  <c r="E11"/>
  <c r="D11"/>
  <c r="B11"/>
  <c r="V10"/>
  <c r="U10"/>
  <c r="V9"/>
  <c r="U9"/>
  <c r="V8"/>
  <c r="U8"/>
  <c r="V7"/>
  <c r="U7"/>
  <c r="V6"/>
  <c r="U6"/>
  <c r="V5"/>
  <c r="U5"/>
  <c r="I5"/>
  <c r="A5"/>
  <c r="V4"/>
  <c r="U4"/>
  <c r="D16" l="1"/>
  <c r="F16" s="1"/>
  <c r="F11"/>
  <c r="C16"/>
  <c r="E16"/>
  <c r="E6" i="7"/>
  <c r="E5" i="2"/>
</calcChain>
</file>

<file path=xl/sharedStrings.xml><?xml version="1.0" encoding="utf-8"?>
<sst xmlns="http://schemas.openxmlformats.org/spreadsheetml/2006/main" count="1912" uniqueCount="419">
  <si>
    <t>⚙  CONTROL PANEL — Edit dropdowns and master values here</t>
  </si>
  <si>
    <t>Salespersons</t>
  </si>
  <si>
    <t>Stage</t>
  </si>
  <si>
    <t>Segment</t>
  </si>
  <si>
    <t>Priority</t>
  </si>
  <si>
    <t>Mew</t>
  </si>
  <si>
    <t>Interest</t>
  </si>
  <si>
    <t>Gov</t>
  </si>
  <si>
    <t>High</t>
  </si>
  <si>
    <t>Napat</t>
  </si>
  <si>
    <t>Send PI</t>
  </si>
  <si>
    <t>Private</t>
  </si>
  <si>
    <t>Medium</t>
  </si>
  <si>
    <t>Tan</t>
  </si>
  <si>
    <t>Negotiating</t>
  </si>
  <si>
    <t>Low</t>
  </si>
  <si>
    <t>Aoey</t>
  </si>
  <si>
    <t>Deal Signed</t>
  </si>
  <si>
    <t>Other Sales</t>
  </si>
  <si>
    <t>Delivered</t>
  </si>
  <si>
    <t>Lost</t>
  </si>
  <si>
    <t>Product Category</t>
  </si>
  <si>
    <t>Brand</t>
  </si>
  <si>
    <t>Fee Structure</t>
  </si>
  <si>
    <t>Specialization</t>
  </si>
  <si>
    <t>Steel</t>
  </si>
  <si>
    <t>Sunon</t>
  </si>
  <si>
    <t>Referral %</t>
  </si>
  <si>
    <t>Office</t>
  </si>
  <si>
    <t>Chair</t>
  </si>
  <si>
    <t>Taiyo</t>
  </si>
  <si>
    <t>No fee</t>
  </si>
  <si>
    <t>Hospital &amp; Wellness</t>
  </si>
  <si>
    <t>Wooden</t>
  </si>
  <si>
    <t>Motech</t>
  </si>
  <si>
    <t>Client to resell</t>
  </si>
  <si>
    <t>Education</t>
  </si>
  <si>
    <t>Hybrida</t>
  </si>
  <si>
    <t>Government</t>
  </si>
  <si>
    <t>Other</t>
  </si>
  <si>
    <t>Monthly Target (THB)</t>
  </si>
  <si>
    <t>ℹ️ Instructions</t>
  </si>
  <si>
    <t>• Edit dropdown lists in the columns above</t>
  </si>
  <si>
    <t>• Add a new salesperson: add their name, then create their tab</t>
  </si>
  <si>
    <t>• Monthly target is referenced by every personal tab dashboard</t>
  </si>
  <si>
    <t>• Do NOT rename this sheet — formulas depend on it</t>
  </si>
  <si>
    <t>📈  TEAM PIPELINE SUMMARY DASHBOARD</t>
  </si>
  <si>
    <t>Month</t>
  </si>
  <si>
    <t>Team Target</t>
  </si>
  <si>
    <t>Taken Orders
(Deal Signed)</t>
  </si>
  <si>
    <t>Delivered Orders</t>
  </si>
  <si>
    <t>Total Pipeline
(All Reps, THB)</t>
  </si>
  <si>
    <t>Weighted Pipeline
(THB)</t>
  </si>
  <si>
    <t>Signed This Month
(THB)</t>
  </si>
  <si>
    <t>Team Monthly Target
(THB)</t>
  </si>
  <si>
    <t>Jan</t>
  </si>
  <si>
    <t>Feb</t>
  </si>
  <si>
    <t>Mar</t>
  </si>
  <si>
    <t>Apr</t>
  </si>
  <si>
    <t>May</t>
  </si>
  <si>
    <t>🏆  Performance by Salesperson</t>
  </si>
  <si>
    <t>Jun</t>
  </si>
  <si>
    <t>Salesperson</t>
  </si>
  <si>
    <t>Total Pipeline
(THB)</t>
  </si>
  <si>
    <t>Weighted
(THB)</t>
  </si>
  <si>
    <t>Signed MTD
(THB)</t>
  </si>
  <si>
    <t>Target
(THB)</t>
  </si>
  <si>
    <t>Progress</t>
  </si>
  <si>
    <t>High
Priority</t>
  </si>
  <si>
    <t>In Negotiating</t>
  </si>
  <si>
    <t>In Deal Signed</t>
  </si>
  <si>
    <t>In Delivered</t>
  </si>
  <si>
    <t>Jul</t>
  </si>
  <si>
    <t>Aug</t>
  </si>
  <si>
    <t>Sep</t>
  </si>
  <si>
    <t>Oct</t>
  </si>
  <si>
    <t>Nov</t>
  </si>
  <si>
    <t>Dec</t>
  </si>
  <si>
    <t>TOTAL</t>
  </si>
  <si>
    <t>📈  TEAM MONTHLY SALES TREND — 2026</t>
  </si>
  <si>
    <t>🔻  Pipeline by Stage (per Salesperson)</t>
  </si>
  <si>
    <t>Total Deals</t>
  </si>
  <si>
    <t>Total Value (THB)</t>
  </si>
  <si>
    <t>% of Pipeline</t>
  </si>
  <si>
    <t>📦  Pipeline by Product Category</t>
  </si>
  <si>
    <t>Category</t>
  </si>
  <si>
    <t># Deals</t>
  </si>
  <si>
    <t>Value (THB)</t>
  </si>
  <si>
    <t>% Share</t>
  </si>
  <si>
    <t>🏷️  Pipeline by Brand</t>
  </si>
  <si>
    <t>👤  MEW — Sales Pipeline &amp; Performance</t>
  </si>
  <si>
    <t>Target</t>
  </si>
  <si>
    <t>📊  KPI DASHBOARD</t>
  </si>
  <si>
    <t>Annual Target
(THB)</t>
  </si>
  <si>
    <t>📋  PIPELINE BREAKDOWN</t>
  </si>
  <si>
    <t>🎯  Monthly Progress vs Target</t>
  </si>
  <si>
    <t>📈  MONTHLY SALES TREND — 2026 (Target vs Taken vs Delivered)</t>
  </si>
  <si>
    <t>Project / Client</t>
  </si>
  <si>
    <t>Product
Category</t>
  </si>
  <si>
    <t>Deal Value
(THB)</t>
  </si>
  <si>
    <t>Win Prob
(%)</t>
  </si>
  <si>
    <t>Weighted
Value (THB)</t>
  </si>
  <si>
    <t>Order Taken
Date</t>
  </si>
  <si>
    <t>Delivered
Date</t>
  </si>
  <si>
    <t>Est. Close
Date</t>
  </si>
  <si>
    <t>Next Action</t>
  </si>
  <si>
    <t>Notes</t>
  </si>
  <si>
    <t>Project Code</t>
  </si>
  <si>
    <t>สำนักงานตำรวจแห่งชาติ</t>
  </si>
  <si>
    <t>PJ-2608-00023</t>
  </si>
  <si>
    <t>กองพลาธิการสำนักงานส่งกำลังบำรุง</t>
  </si>
  <si>
    <t>PJ-2608-00024</t>
  </si>
  <si>
    <t>บ.เอพีพี ดีเวลลอปเม้น</t>
  </si>
  <si>
    <t>PJ-2608-00025</t>
  </si>
  <si>
    <t>บ.ซิสเต็ม โลจิสติกส์</t>
  </si>
  <si>
    <t>PJ-2608-00026</t>
  </si>
  <si>
    <t>บ.เอส.เค.สมาร์ท ไอเดีย</t>
  </si>
  <si>
    <t>PJ-2608-00027</t>
  </si>
  <si>
    <t>บ.ไมด้า พร็อพเพอร์ตี้</t>
  </si>
  <si>
    <t>PJ-2608-00028</t>
  </si>
  <si>
    <t>บ.โดูล่า กรุ๊ป จำกัด</t>
  </si>
  <si>
    <t>PJ-2608-00029</t>
  </si>
  <si>
    <t>บ.ซิเลสติกา (ประเทศไทย) จำกัด</t>
  </si>
  <si>
    <t>PJ-2608-00030</t>
  </si>
  <si>
    <t>บ.เอเชีย คลีน อินดัสตรี</t>
  </si>
  <si>
    <t>PJ-2608-00031</t>
  </si>
  <si>
    <t>บ.โปรเน็ตเวิร์ค ซิสเต็มส์</t>
  </si>
  <si>
    <t>PJ-2608-00032</t>
  </si>
  <si>
    <t xml:space="preserve">บ.ทรานส์เพอร์เทชั่น </t>
  </si>
  <si>
    <t>PJ-2608-00033</t>
  </si>
  <si>
    <t>บ.ไอคอน สตีล โปรดัคท์</t>
  </si>
  <si>
    <t>PJ-2608-00034</t>
  </si>
  <si>
    <t>บ.ชัยสุวรรณ วัสดุดี จำกัด</t>
  </si>
  <si>
    <t>PJ-2608-00035</t>
  </si>
  <si>
    <t>บ.ไดนาแพ็ค เทคโนโลยี</t>
  </si>
  <si>
    <t>PJ-2608-00036</t>
  </si>
  <si>
    <t>บ.มินนิมั่ม จำกัด</t>
  </si>
  <si>
    <t>PJ-2608-00037</t>
  </si>
  <si>
    <t>บ.ดูโฮม จำกัด (มหาชน)</t>
  </si>
  <si>
    <t>PJ-2608-00038</t>
  </si>
  <si>
    <t>PJ-2608-00039</t>
  </si>
  <si>
    <t>เทศบาลตำบลลำลูกกา</t>
  </si>
  <si>
    <t>PJ-2608-00040</t>
  </si>
  <si>
    <t>วัดพระธรรมกาย</t>
  </si>
  <si>
    <t>PJ-2608-00041</t>
  </si>
  <si>
    <t>บ.บอร์เนียว เทคนิเคิล</t>
  </si>
  <si>
    <t>PJ-2608-00042</t>
  </si>
  <si>
    <t>PJ-2608-00043</t>
  </si>
  <si>
    <t>บ.อินโนเวชั่น เดคคอร์</t>
  </si>
  <si>
    <t>PJ-2608-00044</t>
  </si>
  <si>
    <t>บ.พิมพ์วดี เอ็นเตอร์ไพร์ส</t>
  </si>
  <si>
    <t>PJ-2608-00045</t>
  </si>
  <si>
    <t>บ.ไฮบริด บิ้วท์ แอนด์ คอนสตรัคชั่น</t>
  </si>
  <si>
    <t>PJ-2608-00046</t>
  </si>
  <si>
    <t>บ.โกลบอล-ไทซอน</t>
  </si>
  <si>
    <t>PJ-2608-00047</t>
  </si>
  <si>
    <t>บ.เงินขุมทอง จำกัด</t>
  </si>
  <si>
    <t>PJ-2608-00048</t>
  </si>
  <si>
    <t>PJ-2608-00049</t>
  </si>
  <si>
    <t>สองพี่น้อง ซัพพลาย</t>
  </si>
  <si>
    <t>PJ-2608-00050</t>
  </si>
  <si>
    <t>PJ-2608-00051</t>
  </si>
  <si>
    <t>PJ-2608-00052</t>
  </si>
  <si>
    <t>บ.บี.บอย.เบลล์ คอนสตรัคชั่น</t>
  </si>
  <si>
    <t>PJ-2608-00053</t>
  </si>
  <si>
    <t>บ.เอ็นเทค อินเตอร์เนชั่นแนล</t>
  </si>
  <si>
    <t>PJ-2608-00054</t>
  </si>
  <si>
    <t>หจก.บ้านสวยเฟอร์นิเจอร์</t>
  </si>
  <si>
    <t>PJ-2608-00055</t>
  </si>
  <si>
    <t>คณะแพทย์ศาสตร์ รามา</t>
  </si>
  <si>
    <t>PJ-2608-00056</t>
  </si>
  <si>
    <t>PJ-2608-00057</t>
  </si>
  <si>
    <t>PJ-2608-00058</t>
  </si>
  <si>
    <t>PJ-2608-00059</t>
  </si>
  <si>
    <t>บ.โคคูโย อินเตอร์เนชั่นแนล</t>
  </si>
  <si>
    <t>PJ-2608-00060</t>
  </si>
  <si>
    <t>PJ-2608-00061</t>
  </si>
  <si>
    <t>PJ-2608-00062</t>
  </si>
  <si>
    <t>บ.บรรเจิด อินฟินิท จำกัด</t>
  </si>
  <si>
    <t>PJ-2608-00063</t>
  </si>
  <si>
    <t>บ.โมดูลาร์ จำกัด</t>
  </si>
  <si>
    <t>PJ-2608-00064</t>
  </si>
  <si>
    <t>PJ-2608-00065</t>
  </si>
  <si>
    <t>รร.กวดวิชาจิราธิวรรธน์</t>
  </si>
  <si>
    <t>PJ-2608-00066</t>
  </si>
  <si>
    <t>PJ-2608-00067</t>
  </si>
  <si>
    <t>PJ-2608-00068</t>
  </si>
  <si>
    <t>PJ-2608-00069</t>
  </si>
  <si>
    <t>บ.บ๊อกบราวน์ จำกัด</t>
  </si>
  <si>
    <t>PJ-2608-00070</t>
  </si>
  <si>
    <t>PJ-2608-00071</t>
  </si>
  <si>
    <t>บ.ลัคกี้มิวสิค จำกัด(มหาชน)</t>
  </si>
  <si>
    <t>PJ-2608-00072</t>
  </si>
  <si>
    <t>PJ-2608-00073</t>
  </si>
  <si>
    <t>PJ-2608-00074</t>
  </si>
  <si>
    <t>บ.วันดีพัฒนา จำกัด</t>
  </si>
  <si>
    <t>PJ-2608-00075</t>
  </si>
  <si>
    <t>มูลนิธิบุญญานุภาพ</t>
  </si>
  <si>
    <t>PJ-2608-00076</t>
  </si>
  <si>
    <t>บ.โมเดิร์นฟอร์ม กรุ๊ป</t>
  </si>
  <si>
    <t>PJ-2608-00077</t>
  </si>
  <si>
    <t>PJ-2608-00078</t>
  </si>
  <si>
    <t>บ. เดอะ รีทรีท หัวหิน</t>
  </si>
  <si>
    <t>PJ-2608-00079</t>
  </si>
  <si>
    <t>PJ-2608-00080</t>
  </si>
  <si>
    <t>บ.ร้อกเวิธ จำกัด</t>
  </si>
  <si>
    <t>PJ-2608-00081</t>
  </si>
  <si>
    <t>PJ-2608-00082</t>
  </si>
  <si>
    <t>บ.จิตติ โอเอ จำกัด</t>
  </si>
  <si>
    <t>PJ-2608-00083</t>
  </si>
  <si>
    <t>PJ-2608-00084</t>
  </si>
  <si>
    <t>บ.ซีก ดีเวลลอปเม้นท์</t>
  </si>
  <si>
    <t>PJ-2608-00085</t>
  </si>
  <si>
    <t>PJ-2608-00086</t>
  </si>
  <si>
    <t>บ.โกลบอล เทคโนโลยี</t>
  </si>
  <si>
    <t>PJ-2608-00087</t>
  </si>
  <si>
    <t>PJ-2608-00088</t>
  </si>
  <si>
    <t>PJ-2608-00089</t>
  </si>
  <si>
    <t>PJ-2608-00090</t>
  </si>
  <si>
    <t>PJ-2608-00091</t>
  </si>
  <si>
    <t>PJ-2608-00092</t>
  </si>
  <si>
    <t>PJ-2608-00093</t>
  </si>
  <si>
    <t>PJ-2608-00094</t>
  </si>
  <si>
    <t>บ.ฝาจีบ จำกัด (มหาชน)</t>
  </si>
  <si>
    <t>PJ-2608-00095</t>
  </si>
  <si>
    <t>PJ-2608-00096</t>
  </si>
  <si>
    <t>PJ-2608-00097</t>
  </si>
  <si>
    <t>PJ-2608-00098</t>
  </si>
  <si>
    <t>PJ-2608-00099</t>
  </si>
  <si>
    <t>PJ-2608-00100</t>
  </si>
  <si>
    <t>PJ-2608-00101</t>
  </si>
  <si>
    <t>PJ-2608-00102</t>
  </si>
  <si>
    <t>บ.ทริปเปิล ทรี กรุ๊ป จำกัด</t>
  </si>
  <si>
    <t>PJ-2608-00103</t>
  </si>
  <si>
    <t>คุณมิ่งขวัญ อัศวรุ่งเรือง</t>
  </si>
  <si>
    <t>PJ-2608-00104</t>
  </si>
  <si>
    <t>PJ-2608-00105</t>
  </si>
  <si>
    <t>PJ-2608-00106</t>
  </si>
  <si>
    <t>PJ-2608-00107</t>
  </si>
  <si>
    <t>PJ-2608-00108</t>
  </si>
  <si>
    <t>PJ-2608-00109</t>
  </si>
  <si>
    <t>หจก.ทู ยู ทีม</t>
  </si>
  <si>
    <t>PJ-2608-00110</t>
  </si>
  <si>
    <t>บ.ธำรงค์วิทย์ จำกัด</t>
  </si>
  <si>
    <t>PJ-2608-00111</t>
  </si>
  <si>
    <t>บ.ทรานส์เพอร์เทชั่น</t>
  </si>
  <si>
    <t>PJ-2608-00112</t>
  </si>
  <si>
    <t>บ. บรรเจิด อินฟินิท จำกัด</t>
  </si>
  <si>
    <t>PJ-2608-00113</t>
  </si>
  <si>
    <t>บ.แซม พรีซิชั่น (ประเทศไทย) จำกัด</t>
  </si>
  <si>
    <t>PJ-2608-00114</t>
  </si>
  <si>
    <t>PJ-2608-00115</t>
  </si>
  <si>
    <t>PJ-2608-00116</t>
  </si>
  <si>
    <t>บ.ทรานส์์เพอร์เทชั่น จำกัด</t>
  </si>
  <si>
    <t>PJ-2608-00117</t>
  </si>
  <si>
    <t>PJ-2608-00118</t>
  </si>
  <si>
    <t>PJ-2608-00119</t>
  </si>
  <si>
    <t>หจก.ยะลาอาค-คอนส์</t>
  </si>
  <si>
    <t>PJ-2608-00120</t>
  </si>
  <si>
    <t>บ.มินิมั่ม จำกัด</t>
  </si>
  <si>
    <t>PJ-2608-00121</t>
  </si>
  <si>
    <t>คุณพรผกา แก้วพิภพ</t>
  </si>
  <si>
    <t>PJ-2608-00122</t>
  </si>
  <si>
    <t>PJ-2608-00123</t>
  </si>
  <si>
    <t>บ.ทรานส์เพอร์์เทชั่น จำกัด</t>
  </si>
  <si>
    <t>PJ-2608-00124</t>
  </si>
  <si>
    <t>บ.โกลบอลเทคโนโลยี</t>
  </si>
  <si>
    <t>PJ-2608-00125</t>
  </si>
  <si>
    <t>หจก.ลำพูนกนิษฐ์กุล</t>
  </si>
  <si>
    <t>PJ-2608-00126</t>
  </si>
  <si>
    <t>บ.โมเดิร์นฟอร์ม</t>
  </si>
  <si>
    <t>PJ-2608-00127</t>
  </si>
  <si>
    <t>บ.เอ พี พี อิเลคทริค</t>
  </si>
  <si>
    <t>PJ-2608-00128</t>
  </si>
  <si>
    <t>บ.ส.สุพาณิชย์</t>
  </si>
  <si>
    <t>PJ-2608-00129</t>
  </si>
  <si>
    <t>บ.เอพีพี ดีเวลลอปเม้นท์</t>
  </si>
  <si>
    <t>PJ-2608-00130</t>
  </si>
  <si>
    <t>บ.ธำรงวิทย์ อินเตอร์ เทรดดิ้ง จำกัด</t>
  </si>
  <si>
    <t>PJ-2608-00131</t>
  </si>
  <si>
    <t>บ.ทรานส์เพอร์เทชั่น จำัก</t>
  </si>
  <si>
    <t>PJ-2608-00132</t>
  </si>
  <si>
    <t>สำนักงานธนารักษ์พิ้นที่ศรีสะเกษ</t>
  </si>
  <si>
    <t>PJ-2608-00133</t>
  </si>
  <si>
    <t>PJ-2608-00134</t>
  </si>
  <si>
    <t>PJ-2608-00135</t>
  </si>
  <si>
    <t>PJ-2608-00136</t>
  </si>
  <si>
    <t>บ.เอพีพี ดีเวลลอปเม้นท์์</t>
  </si>
  <si>
    <t>PJ-2608-00137</t>
  </si>
  <si>
    <t>บ.ซี ดับบลิว เอ็น ดีเวลลอปเม้นท์</t>
  </si>
  <si>
    <t>PJ-2608-00138</t>
  </si>
  <si>
    <t>บ.เอพีพี ดีเวลล็อปเม้นท์</t>
  </si>
  <si>
    <t>PJ-2608-00139</t>
  </si>
  <si>
    <t>PJ-2608-00140</t>
  </si>
  <si>
    <t>บ.ชินวัฒนา อินโนเวชั่น</t>
  </si>
  <si>
    <t>PJ-2608-00141</t>
  </si>
  <si>
    <t>PJ-2608-00142</t>
  </si>
  <si>
    <t>👤  NAPAT — Sales Pipeline &amp; Performance</t>
  </si>
  <si>
    <t>กรมพลาธิการทหารอากาศ</t>
  </si>
  <si>
    <t>20/02/2026</t>
  </si>
  <si>
    <t>PJ-2608-00143</t>
  </si>
  <si>
    <t>บจก. อาร์ เอ็ม ที อะไหล่ (สำนักงานใหญ่)</t>
  </si>
  <si>
    <t>PJ-2608-00144</t>
  </si>
  <si>
    <t>PJ-2608-00145</t>
  </si>
  <si>
    <t xml:space="preserve"> บริษัท จิกลิโอ จำกัด</t>
  </si>
  <si>
    <t>PJ-2608-00146</t>
  </si>
  <si>
    <t>แม่คะนิ้ง ครีเอทีพ จำกัด</t>
  </si>
  <si>
    <t>18/04/2026</t>
  </si>
  <si>
    <t>PJ-2608-00147</t>
  </si>
  <si>
    <t>บริษัท สตาร์ร์ค แมนูแฟคเซอร์ริ่ง จากัด</t>
  </si>
  <si>
    <t>21/02/2026</t>
  </si>
  <si>
    <t>PJ-2608-00148</t>
  </si>
  <si>
    <t>26/02/2026</t>
  </si>
  <si>
    <t>ลูกค้าไม่มีfeedback ทำเสนอราคาทั้งหมด 3 ครั้ง</t>
  </si>
  <si>
    <t>PJ-2608-00149</t>
  </si>
  <si>
    <t>บริษัท แอโรกรีต (ประเทศไทย) จำกัด</t>
  </si>
  <si>
    <t>ลููกค้าไม่มีงบประมาณชะลอการซื้อ</t>
  </si>
  <si>
    <t>PJ-2608-00150</t>
  </si>
  <si>
    <t xml:space="preserve"> กฟภ เขต 2 จ.อุบลราชธานี</t>
  </si>
  <si>
    <t>ติดตามเรื่องกำหนดงานประมูล</t>
  </si>
  <si>
    <t>PJ-2608-00151</t>
  </si>
  <si>
    <t>สถาบันบัณฑิตพัฒนศิลป์ (วังหน้า)</t>
  </si>
  <si>
    <t>ติดตามเดือน พค26</t>
  </si>
  <si>
    <t>คาดว่างานจะปิดภายในปี26</t>
  </si>
  <si>
    <t>PJ-2608-00152</t>
  </si>
  <si>
    <t>👤  TAN — Sales Pipeline &amp; Performance</t>
  </si>
  <si>
    <t>บ.คาปาดีไซน์บิลด์</t>
  </si>
  <si>
    <t>PJ-2608-00153</t>
  </si>
  <si>
    <t>หจก.ทอฟ้าโฮม</t>
  </si>
  <si>
    <t>PJ-2608-00154</t>
  </si>
  <si>
    <t>อัยการศรีสะเกษ</t>
  </si>
  <si>
    <t>PJ-2608-00155</t>
  </si>
  <si>
    <t>หจก.ธนรักษ์โกลเด้นเซฟ</t>
  </si>
  <si>
    <t>PJ-2608-00156</t>
  </si>
  <si>
    <t>รรร.กสิณธร</t>
  </si>
  <si>
    <t>PJ-2608-00157</t>
  </si>
  <si>
    <t>PJ-2608-00158</t>
  </si>
  <si>
    <t>PJ-2608-00159</t>
  </si>
  <si>
    <t>บ.ไนซ์แอพพาเรล</t>
  </si>
  <si>
    <t>PJ-2608-00160</t>
  </si>
  <si>
    <t>รร.สาธิต มศวประสานมิตร</t>
  </si>
  <si>
    <t>PJ-2608-00161</t>
  </si>
  <si>
    <t>หจก.พีพีเทรดดิ้ง</t>
  </si>
  <si>
    <t>PJ-2608-00162</t>
  </si>
  <si>
    <t>หจก.ประเสริฐเมืองเลย</t>
  </si>
  <si>
    <t>PJ-2608-00163</t>
  </si>
  <si>
    <t>หจก.ทูลไชยก่อสร้าง</t>
  </si>
  <si>
    <t>PJ-2608-00164</t>
  </si>
  <si>
    <t>การทางพิเศษ</t>
  </si>
  <si>
    <t>PJ-2608-00165</t>
  </si>
  <si>
    <t>หอพักนิสิต มศว องครักษ์</t>
  </si>
  <si>
    <t>PJ-2608-00166</t>
  </si>
  <si>
    <t>บ.จันรุ่งเรืองกิจ</t>
  </si>
  <si>
    <t>PJ-2608-00167</t>
  </si>
  <si>
    <t>PJ-2608-00168</t>
  </si>
  <si>
    <t>บ.เวิลด์เดสคอน</t>
  </si>
  <si>
    <t>PJ-2608-00169</t>
  </si>
  <si>
    <t>หจก.โชคนคร</t>
  </si>
  <si>
    <t>PJ-2608-00170</t>
  </si>
  <si>
    <t>PJ-2608-00171</t>
  </si>
  <si>
    <t>หจก.รุ่งวัฒน์คอนสตรัคชั่น</t>
  </si>
  <si>
    <t>PJ-2608-00172</t>
  </si>
  <si>
    <t>รร.วัฒนาวิทยาลัย</t>
  </si>
  <si>
    <t>PJ-2608-00173</t>
  </si>
  <si>
    <t>PJ-2608-00174</t>
  </si>
  <si>
    <t>PJ-2608-00175</t>
  </si>
  <si>
    <t>GOCO HOSPITALITY</t>
  </si>
  <si>
    <t>PJ-2608-00176</t>
  </si>
  <si>
    <t>บ.ซีดีจี</t>
  </si>
  <si>
    <t>PJ-2608-00177</t>
  </si>
  <si>
    <t>👤  AOEY — Sales Pipeline &amp; Performance</t>
  </si>
  <si>
    <t>กองบัญชาการตำรวจสอบสวนกลาง</t>
  </si>
  <si>
    <t>LK901D-62 = 21 ตู้</t>
  </si>
  <si>
    <t>PJ-2608-00178</t>
  </si>
  <si>
    <t>LOXLEY</t>
  </si>
  <si>
    <t>ชุดโต๊ะ+เก้าอี้</t>
  </si>
  <si>
    <t>PJ-2608-00179</t>
  </si>
  <si>
    <t xml:space="preserve">บจก.ขีดขิน </t>
  </si>
  <si>
    <t>ชุดโต๊ะ Hybrida</t>
  </si>
  <si>
    <t>PJ-2608-00180</t>
  </si>
  <si>
    <t>บจก. อัลเฟรโด</t>
  </si>
  <si>
    <t xml:space="preserve">TULIP ดำแดง </t>
  </si>
  <si>
    <t>PJ-2608-00181</t>
  </si>
  <si>
    <t>โรงเรียนอนุบาลตราด</t>
  </si>
  <si>
    <t>PJ-2608-00182</t>
  </si>
  <si>
    <t>Modernform</t>
  </si>
  <si>
    <t>M12A สีดำ = 14</t>
  </si>
  <si>
    <t>PJ-2608-00183</t>
  </si>
  <si>
    <t>บจก.แอดวานซ์เมดิคอล</t>
  </si>
  <si>
    <t>PJ-2608-00184</t>
  </si>
  <si>
    <t>บจก.เสรีวัฒนา</t>
  </si>
  <si>
    <t>PJ-2608-00185</t>
  </si>
  <si>
    <t>บจก.พระนครศรีอยุธยา</t>
  </si>
  <si>
    <t>หจก.รวยหนึ่งห้าเก้า</t>
  </si>
  <si>
    <t>บจก.รุ่งเรืองกิจ</t>
  </si>
  <si>
    <t>บจก.พัฒนาอินเตอร์คูล</t>
  </si>
  <si>
    <t>บจก.ไอคอนสตีล</t>
  </si>
  <si>
    <t>บจก.เท็กซ์โฟกัส</t>
  </si>
  <si>
    <t>หจก.อัมพลก่อสร้าง</t>
  </si>
  <si>
    <t>คุณทิพชาติ</t>
  </si>
  <si>
    <t>👤  OTHER SALES — Sales Pipeline &amp; Performance</t>
  </si>
  <si>
    <t>manager ต้องเห็นทั้งหมด</t>
  </si>
  <si>
    <t>พนักงาน</t>
  </si>
  <si>
    <t>จำนวนดีลใน Excel</t>
  </si>
  <si>
    <t>รวม</t>
  </si>
  <si>
    <t>sale เห็นเฉพาะของตัวเอง</t>
  </si>
  <si>
    <t>นำเข้าข้อมูล ใบเสนอราคาเดือน มค69 - สค69</t>
  </si>
  <si>
    <t>แผนใหม่ (เฉพาะกรณีเลือก "งานประมูล")</t>
  </si>
  <si>
    <r>
      <t xml:space="preserve">เนื่องจาก </t>
    </r>
    <r>
      <rPr>
        <sz val="10"/>
        <color theme="1"/>
        <rFont val="Arial Unicode MS"/>
        <family val="2"/>
      </rPr>
      <t>bid-pipeline.html</t>
    </r>
    <r>
      <rPr>
        <sz val="11"/>
        <color theme="1"/>
        <rFont val="Calibri"/>
        <family val="2"/>
        <scheme val="minor"/>
      </rPr>
      <t xml:space="preserve"> ดึงข้อมูลจาก </t>
    </r>
    <r>
      <rPr>
        <sz val="10"/>
        <color theme="1"/>
        <rFont val="Arial Unicode MS"/>
        <family val="2"/>
      </rPr>
      <t>project_assignments</t>
    </r>
    <r>
      <rPr>
        <sz val="11"/>
        <color theme="1"/>
        <rFont val="Calibri"/>
        <family val="2"/>
        <scheme val="minor"/>
      </rPr>
      <t xml:space="preserve"> ที่ join กับ </t>
    </r>
    <r>
      <rPr>
        <sz val="10"/>
        <color theme="1"/>
        <rFont val="Arial Unicode MS"/>
        <family val="2"/>
      </rPr>
      <t>announcements</t>
    </r>
    <r>
      <rPr>
        <sz val="11"/>
        <color theme="1"/>
        <rFont val="Calibri"/>
        <family val="2"/>
        <scheme val="minor"/>
      </rPr>
      <t xml:space="preserve"> เท่านั้น การจะให้ใบเก่าไปโชว์ถูกที่ ต้องสร้าง 2 แถวนี้แทน </t>
    </r>
    <r>
      <rPr>
        <sz val="10"/>
        <color theme="1"/>
        <rFont val="Arial Unicode MS"/>
        <family val="2"/>
      </rPr>
      <t>pipeline_items</t>
    </r>
    <r>
      <rPr>
        <sz val="11"/>
        <color theme="1"/>
        <rFont val="Calibri"/>
        <family val="2"/>
        <scheme val="minor"/>
      </rPr>
      <t>:</t>
    </r>
  </si>
  <si>
    <r>
      <t xml:space="preserve">1. สร้าง </t>
    </r>
    <r>
      <rPr>
        <b/>
        <sz val="10"/>
        <color theme="1"/>
        <rFont val="Arial Unicode MS"/>
        <family val="2"/>
      </rPr>
      <t>announcements</t>
    </r>
    <r>
      <rPr>
        <b/>
        <sz val="11"/>
        <color theme="1"/>
        <rFont val="Calibri"/>
        <family val="2"/>
        <scheme val="minor"/>
      </rPr>
      <t xml:space="preserve"> ปลอม 1 แถว</t>
    </r>
    <r>
      <rPr>
        <sz val="11"/>
        <color theme="1"/>
        <rFont val="Calibri"/>
        <family val="2"/>
        <scheme val="minor"/>
      </rPr>
      <t xml:space="preserve"> — เพราะ </t>
    </r>
    <r>
      <rPr>
        <sz val="10"/>
        <color theme="1"/>
        <rFont val="Arial Unicode MS"/>
        <family val="2"/>
      </rPr>
      <t>project_no</t>
    </r>
    <r>
      <rPr>
        <sz val="11"/>
        <color theme="1"/>
        <rFont val="Calibri"/>
        <family val="2"/>
        <scheme val="minor"/>
      </rPr>
      <t xml:space="preserve"> บังคับห้ามซ้ำ/ห้ามว่าง ใบเก่าไม่มีเลขที่ e-GP จริง จะออกเลขแทนเป็น เช่น </t>
    </r>
    <r>
      <rPr>
        <sz val="10"/>
        <color theme="1"/>
        <rFont val="Arial Unicode MS"/>
        <family val="2"/>
      </rPr>
      <t>HIST-QT260300110</t>
    </r>
    <r>
      <rPr>
        <sz val="11"/>
        <color theme="1"/>
        <rFont val="Calibri"/>
        <family val="2"/>
        <scheme val="minor"/>
      </rPr>
      <t xml:space="preserve"> (อิงเลขที่ใบเสนอราคาเดิม) พร้อมตั้ง </t>
    </r>
    <r>
      <rPr>
        <sz val="10"/>
        <color theme="1"/>
        <rFont val="Arial Unicode MS"/>
        <family val="2"/>
      </rPr>
      <t>source_type</t>
    </r>
    <r>
      <rPr>
        <sz val="11"/>
        <color theme="1"/>
        <rFont val="Calibri"/>
        <family val="2"/>
        <scheme val="minor"/>
      </rPr>
      <t xml:space="preserve"> เป็นแหล่งใหม่ เช่น </t>
    </r>
    <r>
      <rPr>
        <sz val="10"/>
        <color theme="1"/>
        <rFont val="Arial Unicode MS"/>
        <family val="2"/>
      </rPr>
      <t>legacy</t>
    </r>
    <r>
      <rPr>
        <sz val="11"/>
        <color theme="1"/>
        <rFont val="Calibri"/>
        <family val="2"/>
        <scheme val="minor"/>
      </rPr>
      <t xml:space="preserve"> (เพิ่มผ่านหน้า </t>
    </r>
    <r>
      <rPr>
        <sz val="10"/>
        <color theme="1"/>
        <rFont val="Arial Unicode MS"/>
        <family val="2"/>
      </rPr>
      <t>sources.html</t>
    </r>
    <r>
      <rPr>
        <sz val="11"/>
        <color theme="1"/>
        <rFont val="Calibri"/>
        <family val="2"/>
        <scheme val="minor"/>
      </rPr>
      <t xml:space="preserve"> ได้เลย ไม่ต้องแก้ schema)</t>
    </r>
  </si>
  <si>
    <r>
      <t xml:space="preserve">2. สร้าง </t>
    </r>
    <r>
      <rPr>
        <b/>
        <sz val="10"/>
        <color theme="1"/>
        <rFont val="Arial Unicode MS"/>
        <family val="2"/>
      </rPr>
      <t>project_assignments</t>
    </r>
    <r>
      <rPr>
        <b/>
        <sz val="11"/>
        <color theme="1"/>
        <rFont val="Calibri"/>
        <family val="2"/>
        <scheme val="minor"/>
      </rPr>
      <t xml:space="preserve"> ผูกกับ announcement นั้น</t>
    </r>
    <r>
      <rPr>
        <sz val="11"/>
        <color theme="1"/>
        <rFont val="Calibri"/>
        <family val="2"/>
        <scheme val="minor"/>
      </rPr>
      <t xml:space="preserve"> — </t>
    </r>
    <r>
      <rPr>
        <sz val="10"/>
        <color theme="1"/>
        <rFont val="Arial Unicode MS"/>
        <family val="2"/>
      </rPr>
      <t>status</t>
    </r>
    <r>
      <rPr>
        <sz val="11"/>
        <color theme="1"/>
        <rFont val="Calibri"/>
        <family val="2"/>
        <scheme val="minor"/>
      </rPr>
      <t xml:space="preserve"> ใช้ค่าจริงที่มีอยู่แล้ว (</t>
    </r>
    <r>
      <rPr>
        <sz val="10"/>
        <color theme="1"/>
        <rFont val="Arial Unicode MS"/>
        <family val="2"/>
      </rPr>
      <t>รับงาน/ศึกษา TOR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จัดเตรียมยื่นข้อเสนอ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รอประกาศผล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ชนะการประมูล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ส่งมอบแล้ว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แพ้การประมูล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ยกเลิก</t>
    </r>
    <r>
      <rPr>
        <sz val="11"/>
        <color theme="1"/>
        <rFont val="Calibri"/>
        <family val="2"/>
        <scheme val="minor"/>
      </rPr>
      <t>) ให้ sale เลือกตรงๆ เลย ไม่ต้องแปลงผ่าน enum ของ pipeline_items.stage อีกต่อไป</t>
    </r>
  </si>
  <si>
    <r>
      <t>3. bid_amount</t>
    </r>
    <r>
      <rPr>
        <sz val="11"/>
        <color theme="1"/>
        <rFont val="Calibri"/>
        <family val="2"/>
        <scheme val="minor"/>
      </rPr>
      <t xml:space="preserve"> = มูลค่าจากใบเสนอราคาเก่า (NetAmount)</t>
    </r>
  </si>
  <si>
    <r>
      <t>4. assigned_to</t>
    </r>
    <r>
      <rPr>
        <sz val="11"/>
        <color theme="1"/>
        <rFont val="Calibri"/>
        <family val="2"/>
        <scheme val="minor"/>
      </rPr>
      <t xml:space="preserve"> = map จาก salemanid เหมือนเดิม</t>
    </r>
  </si>
  <si>
    <t>นำเข้างานประมูล  "บริษัท ไอคอน สตีล โปรดัคท์ จำกัด" (19 ใบ)</t>
  </si>
  <si>
    <t>choenatrada</t>
  </si>
  <si>
    <t>supimol</t>
  </si>
  <si>
    <t>siripitch</t>
  </si>
  <si>
    <t>pipattra</t>
  </si>
  <si>
    <t>napat</t>
  </si>
</sst>
</file>

<file path=xl/styles.xml><?xml version="1.0" encoding="utf-8"?>
<styleSheet xmlns="http://schemas.openxmlformats.org/spreadsheetml/2006/main">
  <numFmts count="7">
    <numFmt numFmtId="187" formatCode="0.0%"/>
    <numFmt numFmtId="188" formatCode="d&quot;-&quot;mm&quot;-&quot;yyyy"/>
    <numFmt numFmtId="189" formatCode="dd&quot;-&quot;mm&quot;-&quot;yyyy"/>
    <numFmt numFmtId="190" formatCode="m/d/yyyy"/>
    <numFmt numFmtId="191" formatCode="yyyy\-mm\-dd"/>
    <numFmt numFmtId="192" formatCode="mmm\-d"/>
    <numFmt numFmtId="193" formatCode="[$-1010000]d/m/yyyy;@"/>
  </numFmts>
  <fonts count="21">
    <font>
      <sz val="11"/>
      <color theme="1"/>
      <name val="Calibri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1F2937"/>
      <name val="Arial"/>
    </font>
    <font>
      <b/>
      <sz val="10"/>
      <color rgb="FF1F2937"/>
      <name val="Arial"/>
    </font>
    <font>
      <sz val="9"/>
      <color rgb="FF1F2937"/>
      <name val="Arial"/>
    </font>
    <font>
      <b/>
      <sz val="15"/>
      <color rgb="FFFFFFFF"/>
      <name val="Arial"/>
    </font>
    <font>
      <b/>
      <sz val="9"/>
      <color rgb="FFFFFFFF"/>
      <name val="Arial"/>
    </font>
    <font>
      <b/>
      <sz val="14"/>
      <color rgb="FF1F2937"/>
      <name val="Arial"/>
    </font>
    <font>
      <b/>
      <sz val="11"/>
      <color rgb="FFFFFFFF"/>
      <name val="Arial"/>
    </font>
    <font>
      <sz val="10"/>
      <color rgb="FF000000"/>
      <name val="Arial"/>
    </font>
    <font>
      <sz val="10"/>
      <color rgb="FFFF0000"/>
      <name val="Arial"/>
    </font>
    <font>
      <b/>
      <sz val="11"/>
      <color theme="1"/>
      <name val="Calibri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 Unicode MS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b/>
      <sz val="13.5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4A5A"/>
        <bgColor rgb="FF1A4A5A"/>
      </patternFill>
    </fill>
    <fill>
      <patternFill patternType="solid">
        <fgColor rgb="FF2E7D9A"/>
        <bgColor rgb="FF2E7D9A"/>
      </patternFill>
    </fill>
    <fill>
      <patternFill patternType="solid">
        <fgColor rgb="FFE0F3FA"/>
        <bgColor rgb="FFE0F3FA"/>
      </patternFill>
    </fill>
    <fill>
      <patternFill patternType="solid">
        <fgColor rgb="FFF39C12"/>
        <bgColor rgb="FFF39C12"/>
      </patternFill>
    </fill>
    <fill>
      <patternFill patternType="solid">
        <fgColor rgb="FFFFF9C4"/>
        <bgColor rgb="FFFFF9C4"/>
      </patternFill>
    </fill>
    <fill>
      <patternFill patternType="solid">
        <fgColor rgb="FFECF0F1"/>
        <bgColor rgb="FFECF0F1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/>
      <top style="thin">
        <color rgb="FFB0BEC5"/>
      </top>
      <bottom/>
      <diagonal/>
    </border>
    <border>
      <left/>
      <right/>
      <top style="thin">
        <color rgb="FFB0BEC5"/>
      </top>
      <bottom/>
      <diagonal/>
    </border>
    <border>
      <left/>
      <right/>
      <top/>
      <bottom/>
      <diagonal/>
    </border>
    <border>
      <left style="thin">
        <color rgb="FFB0BEC5"/>
      </left>
      <right/>
      <top/>
      <bottom/>
      <diagonal/>
    </border>
    <border>
      <left style="thin">
        <color rgb="FFB0BEC5"/>
      </left>
      <right/>
      <top style="thin">
        <color rgb="FFB0BEC5"/>
      </top>
      <bottom style="thin">
        <color rgb="FFB0BEC5"/>
      </bottom>
      <diagonal/>
    </border>
    <border>
      <left/>
      <right/>
      <top style="thin">
        <color rgb="FFB0BEC5"/>
      </top>
      <bottom style="thin">
        <color rgb="FFB0BE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5"/>
  </cellStyleXfs>
  <cellXfs count="75">
    <xf numFmtId="0" fontId="0" fillId="0" borderId="0" xfId="0" applyBorder="1"/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3" fontId="3" fillId="6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3" fontId="3" fillId="8" borderId="2" xfId="0" applyNumberFormat="1" applyFont="1" applyFill="1" applyBorder="1" applyAlignment="1">
      <alignment horizontal="center" vertical="center"/>
    </xf>
    <xf numFmtId="3" fontId="3" fillId="7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10" fillId="0" borderId="0" xfId="0" applyFont="1" applyBorder="1"/>
    <xf numFmtId="0" fontId="2" fillId="9" borderId="2" xfId="0" applyFont="1" applyFill="1" applyBorder="1" applyAlignment="1">
      <alignment horizontal="center" vertical="center" wrapText="1"/>
    </xf>
    <xf numFmtId="3" fontId="11" fillId="7" borderId="2" xfId="0" applyNumberFormat="1" applyFont="1" applyFill="1" applyBorder="1" applyAlignment="1">
      <alignment horizontal="center" vertical="center"/>
    </xf>
    <xf numFmtId="3" fontId="11" fillId="8" borderId="2" xfId="0" applyNumberFormat="1" applyFont="1" applyFill="1" applyBorder="1" applyAlignment="1">
      <alignment horizontal="center" vertical="center"/>
    </xf>
    <xf numFmtId="0" fontId="12" fillId="10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0" fontId="13" fillId="2" borderId="2" xfId="0" applyFont="1" applyFill="1" applyBorder="1" applyAlignment="1">
      <alignment horizontal="center" vertical="center" wrapText="1"/>
    </xf>
    <xf numFmtId="0" fontId="0" fillId="0" borderId="0" xfId="0" applyBorder="1"/>
    <xf numFmtId="14" fontId="13" fillId="2" borderId="2" xfId="0" applyNumberFormat="1" applyFont="1" applyFill="1" applyBorder="1" applyAlignment="1">
      <alignment horizontal="center" vertical="center" wrapText="1"/>
    </xf>
    <xf numFmtId="14" fontId="14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0" fillId="0" borderId="0" xfId="0" applyNumberFormat="1" applyBorder="1"/>
    <xf numFmtId="187" fontId="3" fillId="0" borderId="2" xfId="0" applyNumberFormat="1" applyFont="1" applyBorder="1" applyAlignment="1">
      <alignment horizontal="center" vertical="center"/>
    </xf>
    <xf numFmtId="187" fontId="2" fillId="2" borderId="2" xfId="0" applyNumberFormat="1" applyFont="1" applyFill="1" applyBorder="1" applyAlignment="1">
      <alignment horizontal="center" vertical="center"/>
    </xf>
    <xf numFmtId="187" fontId="3" fillId="4" borderId="2" xfId="0" applyNumberFormat="1" applyFont="1" applyFill="1" applyBorder="1" applyAlignment="1">
      <alignment horizontal="center" vertical="center"/>
    </xf>
    <xf numFmtId="193" fontId="0" fillId="0" borderId="0" xfId="0" applyNumberFormat="1" applyBorder="1"/>
    <xf numFmtId="193" fontId="13" fillId="2" borderId="2" xfId="0" applyNumberFormat="1" applyFont="1" applyFill="1" applyBorder="1" applyAlignment="1">
      <alignment horizontal="center" vertical="center" wrapText="1"/>
    </xf>
    <xf numFmtId="188" fontId="14" fillId="0" borderId="2" xfId="0" applyNumberFormat="1" applyFont="1" applyBorder="1" applyAlignment="1">
      <alignment horizontal="center" vertical="center"/>
    </xf>
    <xf numFmtId="193" fontId="14" fillId="0" borderId="2" xfId="0" applyNumberFormat="1" applyFont="1" applyBorder="1" applyAlignment="1">
      <alignment horizontal="center" vertical="center"/>
    </xf>
    <xf numFmtId="188" fontId="3" fillId="0" borderId="2" xfId="0" applyNumberFormat="1" applyFont="1" applyBorder="1" applyAlignment="1">
      <alignment horizontal="center" vertical="center"/>
    </xf>
    <xf numFmtId="193" fontId="3" fillId="0" borderId="2" xfId="0" applyNumberFormat="1" applyFont="1" applyBorder="1" applyAlignment="1">
      <alignment horizontal="center" vertical="center"/>
    </xf>
    <xf numFmtId="189" fontId="3" fillId="0" borderId="2" xfId="0" applyNumberFormat="1" applyFont="1" applyBorder="1" applyAlignment="1">
      <alignment horizontal="center" vertical="center"/>
    </xf>
    <xf numFmtId="190" fontId="3" fillId="0" borderId="2" xfId="0" applyNumberFormat="1" applyFont="1" applyBorder="1" applyAlignment="1">
      <alignment horizontal="center" vertical="center"/>
    </xf>
    <xf numFmtId="191" fontId="3" fillId="0" borderId="2" xfId="0" applyNumberFormat="1" applyFont="1" applyBorder="1" applyAlignment="1">
      <alignment horizontal="center" vertical="center"/>
    </xf>
    <xf numFmtId="192" fontId="3" fillId="0" borderId="2" xfId="0" applyNumberFormat="1" applyFont="1" applyBorder="1" applyAlignment="1">
      <alignment horizontal="center" vertical="center"/>
    </xf>
    <xf numFmtId="0" fontId="5" fillId="0" borderId="5" xfId="0" applyFont="1" applyAlignment="1">
      <alignment horizontal="left" vertical="center"/>
    </xf>
    <xf numFmtId="0" fontId="0" fillId="0" borderId="0" xfId="0" applyBorder="1"/>
    <xf numFmtId="0" fontId="1" fillId="2" borderId="5" xfId="0" applyFont="1" applyFill="1" applyAlignment="1">
      <alignment horizontal="center" vertical="center"/>
    </xf>
    <xf numFmtId="0" fontId="2" fillId="3" borderId="5" xfId="0" applyFont="1" applyFill="1" applyAlignment="1">
      <alignment horizontal="center" vertical="center" wrapText="1"/>
    </xf>
    <xf numFmtId="3" fontId="8" fillId="6" borderId="3" xfId="0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9" fillId="3" borderId="5" xfId="0" applyFont="1" applyFill="1" applyAlignment="1">
      <alignment horizontal="left" vertical="center"/>
    </xf>
    <xf numFmtId="0" fontId="6" fillId="2" borderId="5" xfId="0" applyFont="1" applyFill="1" applyAlignment="1">
      <alignment horizontal="center" vertical="center"/>
    </xf>
    <xf numFmtId="3" fontId="8" fillId="4" borderId="3" xfId="0" applyNumberFormat="1" applyFont="1" applyFill="1" applyBorder="1" applyAlignment="1">
      <alignment horizontal="center" vertical="center"/>
    </xf>
    <xf numFmtId="193" fontId="0" fillId="0" borderId="0" xfId="0" applyNumberFormat="1" applyBorder="1"/>
    <xf numFmtId="0" fontId="3" fillId="6" borderId="7" xfId="0" applyFont="1" applyFill="1" applyBorder="1" applyAlignment="1">
      <alignment horizontal="left" vertical="center"/>
    </xf>
    <xf numFmtId="0" fontId="0" fillId="0" borderId="8" xfId="0" applyBorder="1"/>
    <xf numFmtId="0" fontId="2" fillId="5" borderId="5" xfId="0" applyFont="1" applyFill="1" applyAlignment="1">
      <alignment horizontal="left" vertical="center"/>
    </xf>
    <xf numFmtId="0" fontId="6" fillId="9" borderId="5" xfId="0" applyFont="1" applyFill="1" applyAlignment="1">
      <alignment horizontal="center" vertical="center"/>
    </xf>
    <xf numFmtId="14" fontId="0" fillId="0" borderId="0" xfId="0" applyNumberFormat="1" applyBorder="1"/>
    <xf numFmtId="14" fontId="2" fillId="3" borderId="5" xfId="0" applyNumberFormat="1" applyFont="1" applyFill="1" applyAlignment="1">
      <alignment horizontal="center" vertical="center" wrapText="1"/>
    </xf>
    <xf numFmtId="0" fontId="16" fillId="0" borderId="0" xfId="0" applyFont="1" applyBorder="1"/>
    <xf numFmtId="0" fontId="19" fillId="0" borderId="0" xfId="0" applyFont="1" applyBorder="1"/>
    <xf numFmtId="0" fontId="0" fillId="0" borderId="0" xfId="0" applyBorder="1" applyAlignment="1">
      <alignment horizontal="left" indent="1"/>
    </xf>
    <xf numFmtId="0" fontId="17" fillId="0" borderId="0" xfId="0" applyFont="1" applyBorder="1" applyAlignment="1">
      <alignment horizontal="left" indent="1"/>
    </xf>
    <xf numFmtId="0" fontId="18" fillId="0" borderId="0" xfId="0" applyFont="1" applyBorder="1" applyAlignment="1">
      <alignment horizontal="left" indent="1"/>
    </xf>
    <xf numFmtId="0" fontId="15" fillId="0" borderId="0" xfId="0" applyFont="1" applyBorder="1" applyAlignment="1">
      <alignment horizontal="left" indent="1"/>
    </xf>
    <xf numFmtId="0" fontId="20" fillId="0" borderId="0" xfId="0" applyFont="1" applyBorder="1"/>
    <xf numFmtId="0" fontId="16" fillId="0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h-TH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Team Monthly Sales vs Target 2026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Team Target (15M/mo)</c:v>
          </c:tx>
          <c:spPr>
            <a:ln w="19050" cmpd="sng">
              <a:solidFill>
                <a:srgbClr val="2E86AB"/>
              </a:solidFill>
              <a:prstDash val="dash"/>
            </a:ln>
          </c:spPr>
          <c:marker>
            <c:symbol val="none"/>
          </c:marker>
          <c:cat>
            <c:strRef>
              <c:f>'📈 Summary Dashboard'!$S$4:$S$15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'📈 Summary Dashboard'!$T$4:$T$15</c:f>
              <c:numCache>
                <c:formatCode>#,##0</c:formatCode>
                <c:ptCount val="12"/>
                <c:pt idx="0">
                  <c:v>15000000</c:v>
                </c:pt>
                <c:pt idx="1">
                  <c:v>15000000</c:v>
                </c:pt>
                <c:pt idx="2">
                  <c:v>15000000</c:v>
                </c:pt>
                <c:pt idx="3">
                  <c:v>15000000</c:v>
                </c:pt>
                <c:pt idx="4">
                  <c:v>15000000</c:v>
                </c:pt>
                <c:pt idx="5">
                  <c:v>15000000</c:v>
                </c:pt>
                <c:pt idx="6">
                  <c:v>15000000</c:v>
                </c:pt>
                <c:pt idx="7">
                  <c:v>15000000</c:v>
                </c:pt>
                <c:pt idx="8">
                  <c:v>15000000</c:v>
                </c:pt>
                <c:pt idx="9">
                  <c:v>15000000</c:v>
                </c:pt>
                <c:pt idx="10">
                  <c:v>15000000</c:v>
                </c:pt>
                <c:pt idx="11">
                  <c:v>15000000</c:v>
                </c:pt>
              </c:numCache>
            </c:numRef>
          </c:val>
          <c:smooth val="1"/>
        </c:ser>
        <c:ser>
          <c:idx val="1"/>
          <c:order val="1"/>
          <c:tx>
            <c:v>Taken Orders</c:v>
          </c:tx>
          <c:spPr>
            <a:ln w="19050" cmpd="sng">
              <a:solidFill>
                <a:srgbClr val="F18F01"/>
              </a:solidFill>
              <a:prstDash val="solid"/>
            </a:ln>
          </c:spPr>
          <c:marker>
            <c:symbol val="none"/>
          </c:marker>
          <c:cat>
            <c:strRef>
              <c:f>'📈 Summary Dashboard'!$S$4:$S$15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'📈 Summary Dashboard'!$U$4:$U$15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v>Delivered Orders</c:v>
          </c:tx>
          <c:spPr>
            <a:ln w="19050" cmpd="sng">
              <a:solidFill>
                <a:srgbClr val="44BBA4"/>
              </a:solidFill>
              <a:prstDash val="solid"/>
            </a:ln>
          </c:spPr>
          <c:marker>
            <c:symbol val="none"/>
          </c:marker>
          <c:cat>
            <c:strRef>
              <c:f>'📈 Summary Dashboard'!$S$4:$S$15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'📈 Summary Dashboard'!$V$4:$V$15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marker val="1"/>
        <c:axId val="146794368"/>
        <c:axId val="146871040"/>
      </c:lineChart>
      <c:catAx>
        <c:axId val="146794368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</c:title>
        <c:numFmt formatCode="General" sourceLinked="1"/>
        <c:maj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th-TH"/>
          </a:p>
        </c:txPr>
        <c:crossAx val="146871040"/>
        <c:crosses val="autoZero"/>
        <c:lblAlgn val="ctr"/>
        <c:lblOffset val="100"/>
      </c:catAx>
      <c:valAx>
        <c:axId val="146871040"/>
        <c:scaling>
          <c:orientation val="minMax"/>
        </c:scaling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Value (THB)</a:t>
                </a:r>
              </a:p>
            </c:rich>
          </c:tx>
        </c:title>
        <c:numFmt formatCode="#,##0" sourceLinked="0"/>
        <c:maj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th-TH"/>
          </a:p>
        </c:txPr>
        <c:crossAx val="146794368"/>
        <c:crosses val="autoZero"/>
        <c:crossBetween val="between"/>
      </c:valAx>
    </c:plotArea>
    <c:legend>
      <c:legendPos val="r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th-TH"/>
        </a:p>
      </c:txPr>
    </c:legend>
    <c:plotVisOnly val="1"/>
    <c:dispBlanksAs val="gap"/>
  </c:chart>
  <c:spPr>
    <a:solidFill>
      <a:srgbClr val="FFFFFF"/>
    </a:solidFill>
    <a:ln>
      <a:prstDash val="solid"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h-TH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Mew — Monthly Sales vs Target 2026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(3M/mo)</c:v>
          </c:tx>
          <c:spPr>
            <a:ln w="19050" cmpd="sng">
              <a:solidFill>
                <a:srgbClr val="2E86AB"/>
              </a:solidFill>
              <a:prstDash val="dash"/>
            </a:ln>
          </c:spPr>
          <c:marker>
            <c:symbol val="none"/>
          </c:marker>
          <c:cat>
            <c:strRef>
              <c:f>'👤 Mew'!$R$4:$R$15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'👤 Mew'!$S$4:$S$15</c:f>
              <c:numCache>
                <c:formatCode>#,##0</c:formatCode>
                <c:ptCount val="12"/>
                <c:pt idx="0">
                  <c:v>3000000</c:v>
                </c:pt>
                <c:pt idx="1">
                  <c:v>6000000</c:v>
                </c:pt>
                <c:pt idx="2">
                  <c:v>3000000</c:v>
                </c:pt>
                <c:pt idx="3">
                  <c:v>3000000</c:v>
                </c:pt>
                <c:pt idx="4">
                  <c:v>2500000</c:v>
                </c:pt>
                <c:pt idx="5">
                  <c:v>1500000</c:v>
                </c:pt>
                <c:pt idx="6">
                  <c:v>2500000</c:v>
                </c:pt>
                <c:pt idx="7">
                  <c:v>2500000</c:v>
                </c:pt>
                <c:pt idx="8">
                  <c:v>2500000</c:v>
                </c:pt>
                <c:pt idx="9">
                  <c:v>3500000</c:v>
                </c:pt>
                <c:pt idx="10">
                  <c:v>3000000</c:v>
                </c:pt>
                <c:pt idx="11">
                  <c:v>3000000</c:v>
                </c:pt>
              </c:numCache>
            </c:numRef>
          </c:val>
          <c:smooth val="1"/>
        </c:ser>
        <c:ser>
          <c:idx val="1"/>
          <c:order val="1"/>
          <c:tx>
            <c:v>Taken Orders</c:v>
          </c:tx>
          <c:spPr>
            <a:ln w="19050" cmpd="sng">
              <a:solidFill>
                <a:srgbClr val="F18F01"/>
              </a:solidFill>
              <a:prstDash val="solid"/>
            </a:ln>
          </c:spPr>
          <c:marker>
            <c:symbol val="none"/>
          </c:marker>
          <c:cat>
            <c:strRef>
              <c:f>'👤 Mew'!$R$4:$R$15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'👤 Mew'!$T$4:$T$15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v>Delivered Orders</c:v>
          </c:tx>
          <c:spPr>
            <a:ln w="19050" cmpd="sng">
              <a:solidFill>
                <a:srgbClr val="44BBA4"/>
              </a:solidFill>
              <a:prstDash val="solid"/>
            </a:ln>
          </c:spPr>
          <c:marker>
            <c:symbol val="none"/>
          </c:marker>
          <c:cat>
            <c:strRef>
              <c:f>'👤 Mew'!$R$4:$R$15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'👤 Mew'!$U$4:$U$16</c:f>
              <c:numCache>
                <c:formatCode>#,##0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marker val="1"/>
        <c:axId val="81635200"/>
        <c:axId val="81653760"/>
      </c:lineChart>
      <c:catAx>
        <c:axId val="81635200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layout/>
        </c:title>
        <c:numFmt formatCode="General" sourceLinked="1"/>
        <c:maj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th-TH"/>
          </a:p>
        </c:txPr>
        <c:crossAx val="81653760"/>
        <c:crosses val="autoZero"/>
        <c:lblAlgn val="ctr"/>
        <c:lblOffset val="100"/>
      </c:catAx>
      <c:valAx>
        <c:axId val="81653760"/>
        <c:scaling>
          <c:orientation val="minMax"/>
        </c:scaling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Value (THB)</a:t>
                </a:r>
              </a:p>
            </c:rich>
          </c:tx>
          <c:layout/>
        </c:title>
        <c:numFmt formatCode="#,##0" sourceLinked="0"/>
        <c:maj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th-TH"/>
          </a:p>
        </c:txPr>
        <c:crossAx val="81635200"/>
        <c:crosses val="autoZero"/>
        <c:crossBetween val="between"/>
      </c:valAx>
    </c:plotArea>
    <c:legend>
      <c:legendPos val="r"/>
      <c:layout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th-TH"/>
        </a:p>
      </c:txPr>
    </c:legend>
    <c:plotVisOnly val="1"/>
    <c:dispBlanksAs val="gap"/>
  </c:chart>
  <c:spPr>
    <a:solidFill>
      <a:srgbClr val="FFFFFF"/>
    </a:solidFill>
    <a:ln>
      <a:prstDash val="solid"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h-TH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Napat — Monthly Sales vs Target 2026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Target (3M/mo)</c:v>
          </c:tx>
          <c:spPr>
            <a:ln w="19050" cmpd="sng">
              <a:solidFill>
                <a:srgbClr val="2E86AB"/>
              </a:solidFill>
              <a:prstDash val="dash"/>
            </a:ln>
          </c:spPr>
          <c:marker>
            <c:symbol val="none"/>
          </c:marker>
          <c:cat>
            <c:strRef>
              <c:f>'👤 Napat'!$S$4:$S$15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'👤 Napat'!$T$4:$T$15</c:f>
              <c:numCache>
                <c:formatCode>#,##0</c:formatCode>
                <c:ptCount val="12"/>
                <c:pt idx="0">
                  <c:v>1500000</c:v>
                </c:pt>
                <c:pt idx="1">
                  <c:v>2000000</c:v>
                </c:pt>
                <c:pt idx="2">
                  <c:v>4000000</c:v>
                </c:pt>
                <c:pt idx="3">
                  <c:v>4000000</c:v>
                </c:pt>
                <c:pt idx="4">
                  <c:v>3000000</c:v>
                </c:pt>
                <c:pt idx="5">
                  <c:v>3500000</c:v>
                </c:pt>
                <c:pt idx="6">
                  <c:v>3000000</c:v>
                </c:pt>
                <c:pt idx="7">
                  <c:v>3000000</c:v>
                </c:pt>
                <c:pt idx="8">
                  <c:v>3000000</c:v>
                </c:pt>
                <c:pt idx="9">
                  <c:v>3000000</c:v>
                </c:pt>
                <c:pt idx="10">
                  <c:v>3000000</c:v>
                </c:pt>
                <c:pt idx="11">
                  <c:v>3000000</c:v>
                </c:pt>
              </c:numCache>
            </c:numRef>
          </c:val>
          <c:smooth val="1"/>
        </c:ser>
        <c:ser>
          <c:idx val="1"/>
          <c:order val="1"/>
          <c:tx>
            <c:v>Taken Orders</c:v>
          </c:tx>
          <c:spPr>
            <a:ln w="19050" cmpd="sng">
              <a:solidFill>
                <a:srgbClr val="F18F01"/>
              </a:solidFill>
              <a:prstDash val="solid"/>
            </a:ln>
          </c:spPr>
          <c:marker>
            <c:symbol val="none"/>
          </c:marker>
          <c:cat>
            <c:strRef>
              <c:f>'👤 Napat'!$S$4:$S$15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'👤 Napat'!$U$4:$U$15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v>Delivered Orders</c:v>
          </c:tx>
          <c:spPr>
            <a:ln w="19050" cmpd="sng">
              <a:solidFill>
                <a:srgbClr val="44BBA4"/>
              </a:solidFill>
              <a:prstDash val="solid"/>
            </a:ln>
          </c:spPr>
          <c:marker>
            <c:symbol val="none"/>
          </c:marker>
          <c:cat>
            <c:strRef>
              <c:f>'👤 Napat'!$S$4:$S$15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'👤 Napat'!$V$4:$V$15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marker val="1"/>
        <c:axId val="81958784"/>
        <c:axId val="81981440"/>
      </c:lineChart>
      <c:catAx>
        <c:axId val="81958784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</c:title>
        <c:numFmt formatCode="General" sourceLinked="1"/>
        <c:maj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th-TH"/>
          </a:p>
        </c:txPr>
        <c:crossAx val="81981440"/>
        <c:crosses val="autoZero"/>
        <c:lblAlgn val="ctr"/>
        <c:lblOffset val="100"/>
      </c:catAx>
      <c:valAx>
        <c:axId val="81981440"/>
        <c:scaling>
          <c:orientation val="minMax"/>
        </c:scaling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Value (THB)</a:t>
                </a:r>
              </a:p>
            </c:rich>
          </c:tx>
        </c:title>
        <c:numFmt formatCode="#,##0" sourceLinked="0"/>
        <c:maj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th-TH"/>
          </a:p>
        </c:txPr>
        <c:crossAx val="81958784"/>
        <c:crosses val="autoZero"/>
        <c:crossBetween val="between"/>
      </c:valAx>
    </c:plotArea>
    <c:legend>
      <c:legendPos val="r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th-TH"/>
        </a:p>
      </c:txPr>
    </c:legend>
    <c:plotVisOnly val="1"/>
    <c:dispBlanksAs val="gap"/>
  </c:chart>
  <c:spPr>
    <a:solidFill>
      <a:srgbClr val="FFFFFF"/>
    </a:solidFill>
    <a:ln>
      <a:prstDash val="solid"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h-TH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Tan — Monthly Sales vs Target 2026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Target (3M/mo)</c:v>
          </c:tx>
          <c:spPr>
            <a:ln w="19050" cmpd="sng">
              <a:solidFill>
                <a:srgbClr val="2E86AB"/>
              </a:solidFill>
              <a:prstDash val="dash"/>
            </a:ln>
          </c:spPr>
          <c:marker>
            <c:symbol val="none"/>
          </c:marker>
          <c:cat>
            <c:strRef>
              <c:f>'👤 Tan'!$S$4:$S$15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'👤 Tan'!$T$4:$T$15</c:f>
              <c:numCache>
                <c:formatCode>#,##0</c:formatCode>
                <c:ptCount val="12"/>
                <c:pt idx="0">
                  <c:v>1500000</c:v>
                </c:pt>
                <c:pt idx="1">
                  <c:v>2000000</c:v>
                </c:pt>
                <c:pt idx="2">
                  <c:v>4000000</c:v>
                </c:pt>
                <c:pt idx="3">
                  <c:v>4000000</c:v>
                </c:pt>
                <c:pt idx="4">
                  <c:v>3000000</c:v>
                </c:pt>
                <c:pt idx="5">
                  <c:v>3500000</c:v>
                </c:pt>
                <c:pt idx="6">
                  <c:v>3000000</c:v>
                </c:pt>
                <c:pt idx="7">
                  <c:v>3000000</c:v>
                </c:pt>
                <c:pt idx="8">
                  <c:v>3000000</c:v>
                </c:pt>
                <c:pt idx="9">
                  <c:v>3000000</c:v>
                </c:pt>
                <c:pt idx="10">
                  <c:v>3000000</c:v>
                </c:pt>
                <c:pt idx="11">
                  <c:v>3000000</c:v>
                </c:pt>
              </c:numCache>
            </c:numRef>
          </c:val>
          <c:smooth val="1"/>
        </c:ser>
        <c:ser>
          <c:idx val="1"/>
          <c:order val="1"/>
          <c:tx>
            <c:v>Taken Orders</c:v>
          </c:tx>
          <c:spPr>
            <a:ln w="19050" cmpd="sng">
              <a:solidFill>
                <a:srgbClr val="F18F01"/>
              </a:solidFill>
              <a:prstDash val="solid"/>
            </a:ln>
          </c:spPr>
          <c:marker>
            <c:symbol val="none"/>
          </c:marker>
          <c:cat>
            <c:strRef>
              <c:f>'👤 Tan'!$S$4:$S$15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'👤 Tan'!$U$4:$U$15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v>Delivered Orders</c:v>
          </c:tx>
          <c:spPr>
            <a:ln w="19050" cmpd="sng">
              <a:solidFill>
                <a:srgbClr val="44BBA4"/>
              </a:solidFill>
              <a:prstDash val="solid"/>
            </a:ln>
          </c:spPr>
          <c:marker>
            <c:symbol val="none"/>
          </c:marker>
          <c:cat>
            <c:strRef>
              <c:f>'👤 Tan'!$S$4:$S$15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'👤 Tan'!$V$4:$V$15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marker val="1"/>
        <c:axId val="82032512"/>
        <c:axId val="82034688"/>
      </c:lineChart>
      <c:catAx>
        <c:axId val="82032512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</c:title>
        <c:numFmt formatCode="General" sourceLinked="1"/>
        <c:maj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th-TH"/>
          </a:p>
        </c:txPr>
        <c:crossAx val="82034688"/>
        <c:crosses val="autoZero"/>
        <c:lblAlgn val="ctr"/>
        <c:lblOffset val="100"/>
      </c:catAx>
      <c:valAx>
        <c:axId val="82034688"/>
        <c:scaling>
          <c:orientation val="minMax"/>
        </c:scaling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Value (THB)</a:t>
                </a:r>
              </a:p>
            </c:rich>
          </c:tx>
        </c:title>
        <c:numFmt formatCode="#,##0" sourceLinked="0"/>
        <c:maj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th-TH"/>
          </a:p>
        </c:txPr>
        <c:crossAx val="82032512"/>
        <c:crosses val="autoZero"/>
        <c:crossBetween val="between"/>
      </c:valAx>
    </c:plotArea>
    <c:legend>
      <c:legendPos val="r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th-TH"/>
        </a:p>
      </c:txPr>
    </c:legend>
    <c:plotVisOnly val="1"/>
    <c:dispBlanksAs val="gap"/>
  </c:chart>
  <c:spPr>
    <a:solidFill>
      <a:srgbClr val="FFFFFF"/>
    </a:solidFill>
    <a:ln>
      <a:prstDash val="solid"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h-TH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Aoey — Monthly Sales vs Target 2026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Target (3M/mo)</c:v>
          </c:tx>
          <c:spPr>
            <a:ln w="19050" cmpd="sng">
              <a:solidFill>
                <a:srgbClr val="2E86AB"/>
              </a:solidFill>
              <a:prstDash val="dash"/>
            </a:ln>
          </c:spPr>
          <c:marker>
            <c:symbol val="none"/>
          </c:marker>
          <c:cat>
            <c:strRef>
              <c:f>'👤 Aoey'!$S$4:$S$15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'👤 Aoey'!$T$4:$T$15</c:f>
              <c:numCache>
                <c:formatCode>#,##0</c:formatCode>
                <c:ptCount val="12"/>
                <c:pt idx="0">
                  <c:v>1500000</c:v>
                </c:pt>
                <c:pt idx="1">
                  <c:v>2500000</c:v>
                </c:pt>
                <c:pt idx="2">
                  <c:v>4500000</c:v>
                </c:pt>
                <c:pt idx="3">
                  <c:v>4500000</c:v>
                </c:pt>
                <c:pt idx="4">
                  <c:v>2500000</c:v>
                </c:pt>
                <c:pt idx="5">
                  <c:v>1500000</c:v>
                </c:pt>
                <c:pt idx="6">
                  <c:v>2000000</c:v>
                </c:pt>
                <c:pt idx="7">
                  <c:v>2000000</c:v>
                </c:pt>
                <c:pt idx="8">
                  <c:v>2000000</c:v>
                </c:pt>
                <c:pt idx="9">
                  <c:v>2000000</c:v>
                </c:pt>
                <c:pt idx="10">
                  <c:v>1500000</c:v>
                </c:pt>
                <c:pt idx="11">
                  <c:v>1500000</c:v>
                </c:pt>
              </c:numCache>
            </c:numRef>
          </c:val>
          <c:smooth val="1"/>
        </c:ser>
        <c:ser>
          <c:idx val="1"/>
          <c:order val="1"/>
          <c:tx>
            <c:v>Taken Orders</c:v>
          </c:tx>
          <c:spPr>
            <a:ln w="19050" cmpd="sng">
              <a:solidFill>
                <a:srgbClr val="F18F01"/>
              </a:solidFill>
              <a:prstDash val="solid"/>
            </a:ln>
          </c:spPr>
          <c:marker>
            <c:symbol val="none"/>
          </c:marker>
          <c:cat>
            <c:strRef>
              <c:f>'👤 Aoey'!$S$4:$S$15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'👤 Aoey'!$U$4:$U$15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v>Delivered Orders</c:v>
          </c:tx>
          <c:spPr>
            <a:ln w="19050" cmpd="sng">
              <a:solidFill>
                <a:srgbClr val="44BBA4"/>
              </a:solidFill>
              <a:prstDash val="solid"/>
            </a:ln>
          </c:spPr>
          <c:marker>
            <c:symbol val="none"/>
          </c:marker>
          <c:cat>
            <c:strRef>
              <c:f>'👤 Aoey'!$S$4:$S$15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'👤 Aoey'!$V$4:$V$15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marker val="1"/>
        <c:axId val="83133952"/>
        <c:axId val="83135872"/>
      </c:lineChart>
      <c:catAx>
        <c:axId val="83133952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</c:title>
        <c:numFmt formatCode="General" sourceLinked="1"/>
        <c:maj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th-TH"/>
          </a:p>
        </c:txPr>
        <c:crossAx val="83135872"/>
        <c:crosses val="autoZero"/>
        <c:lblAlgn val="ctr"/>
        <c:lblOffset val="100"/>
      </c:catAx>
      <c:valAx>
        <c:axId val="83135872"/>
        <c:scaling>
          <c:orientation val="minMax"/>
        </c:scaling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Value (THB)</a:t>
                </a:r>
              </a:p>
            </c:rich>
          </c:tx>
        </c:title>
        <c:numFmt formatCode="#,##0" sourceLinked="0"/>
        <c:maj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th-TH"/>
          </a:p>
        </c:txPr>
        <c:crossAx val="83133952"/>
        <c:crosses val="autoZero"/>
        <c:crossBetween val="between"/>
      </c:valAx>
    </c:plotArea>
    <c:legend>
      <c:legendPos val="r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th-TH"/>
        </a:p>
      </c:txPr>
    </c:legend>
    <c:plotVisOnly val="1"/>
    <c:dispBlanksAs val="gap"/>
  </c:chart>
  <c:spPr>
    <a:solidFill>
      <a:srgbClr val="FFFFFF"/>
    </a:solidFill>
    <a:ln>
      <a:prstDash val="solid"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h-TH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Other Sales — Monthly Sales vs Target 2026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Target (3M/mo)</c:v>
          </c:tx>
          <c:spPr>
            <a:ln w="19050" cmpd="sng">
              <a:solidFill>
                <a:srgbClr val="2E86AB"/>
              </a:solidFill>
              <a:prstDash val="dash"/>
            </a:ln>
          </c:spPr>
          <c:marker>
            <c:symbol val="none"/>
          </c:marker>
          <c:cat>
            <c:strRef>
              <c:f>'👤 Other Sales'!$S$4:$S$15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'👤 Other Sales'!$T$4:$T$15</c:f>
              <c:numCache>
                <c:formatCode>#,##0</c:formatCode>
                <c:ptCount val="12"/>
                <c:pt idx="0">
                  <c:v>3000000</c:v>
                </c:pt>
                <c:pt idx="1">
                  <c:v>3000000</c:v>
                </c:pt>
                <c:pt idx="2">
                  <c:v>3000000</c:v>
                </c:pt>
                <c:pt idx="3">
                  <c:v>3000000</c:v>
                </c:pt>
                <c:pt idx="4">
                  <c:v>3000000</c:v>
                </c:pt>
                <c:pt idx="5">
                  <c:v>3000000</c:v>
                </c:pt>
                <c:pt idx="6">
                  <c:v>3000000</c:v>
                </c:pt>
                <c:pt idx="7">
                  <c:v>3000000</c:v>
                </c:pt>
                <c:pt idx="8">
                  <c:v>3000000</c:v>
                </c:pt>
                <c:pt idx="9">
                  <c:v>3000000</c:v>
                </c:pt>
                <c:pt idx="10">
                  <c:v>3000000</c:v>
                </c:pt>
                <c:pt idx="11">
                  <c:v>3000000</c:v>
                </c:pt>
              </c:numCache>
            </c:numRef>
          </c:val>
          <c:smooth val="1"/>
        </c:ser>
        <c:ser>
          <c:idx val="1"/>
          <c:order val="1"/>
          <c:tx>
            <c:v>Taken Orders</c:v>
          </c:tx>
          <c:spPr>
            <a:ln w="19050" cmpd="sng">
              <a:solidFill>
                <a:srgbClr val="F18F01"/>
              </a:solidFill>
              <a:prstDash val="solid"/>
            </a:ln>
          </c:spPr>
          <c:marker>
            <c:symbol val="none"/>
          </c:marker>
          <c:cat>
            <c:strRef>
              <c:f>'👤 Other Sales'!$S$4:$S$15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'👤 Other Sales'!$U$4:$U$15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v>Delivered Orders</c:v>
          </c:tx>
          <c:spPr>
            <a:ln w="19050" cmpd="sng">
              <a:solidFill>
                <a:srgbClr val="44BBA4"/>
              </a:solidFill>
              <a:prstDash val="solid"/>
            </a:ln>
          </c:spPr>
          <c:marker>
            <c:symbol val="none"/>
          </c:marker>
          <c:cat>
            <c:strRef>
              <c:f>'👤 Other Sales'!$S$4:$S$15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'👤 Other Sales'!$V$4:$V$15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marker val="1"/>
        <c:axId val="125662720"/>
        <c:axId val="125664640"/>
      </c:lineChart>
      <c:catAx>
        <c:axId val="125662720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</c:title>
        <c:numFmt formatCode="General" sourceLinked="1"/>
        <c:maj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th-TH"/>
          </a:p>
        </c:txPr>
        <c:crossAx val="125664640"/>
        <c:crosses val="autoZero"/>
        <c:lblAlgn val="ctr"/>
        <c:lblOffset val="100"/>
      </c:catAx>
      <c:valAx>
        <c:axId val="125664640"/>
        <c:scaling>
          <c:orientation val="minMax"/>
        </c:scaling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Value (THB)</a:t>
                </a:r>
              </a:p>
            </c:rich>
          </c:tx>
        </c:title>
        <c:numFmt formatCode="#,##0" sourceLinked="0"/>
        <c:maj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th-TH"/>
          </a:p>
        </c:txPr>
        <c:crossAx val="125662720"/>
        <c:crosses val="autoZero"/>
        <c:crossBetween val="between"/>
      </c:valAx>
    </c:plotArea>
    <c:legend>
      <c:legendPos val="r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th-TH"/>
        </a:p>
      </c:txPr>
    </c:legend>
    <c:plotVisOnly val="1"/>
    <c:dispBlanksAs val="gap"/>
  </c:chart>
  <c:spPr>
    <a:solidFill>
      <a:srgbClr val="FFFFFF"/>
    </a:solidFill>
    <a:ln>
      <a:prstDash val="solid"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17</xdr:row>
      <xdr:rowOff>142875</xdr:rowOff>
    </xdr:from>
    <xdr:ext cx="8181975" cy="4143375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17</xdr:row>
      <xdr:rowOff>123825</xdr:rowOff>
    </xdr:from>
    <xdr:ext cx="16116300" cy="4162425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142875</xdr:rowOff>
    </xdr:from>
    <xdr:ext cx="16211550" cy="4162425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17</xdr:row>
      <xdr:rowOff>76200</xdr:rowOff>
    </xdr:from>
    <xdr:ext cx="16192500" cy="4162425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114300</xdr:rowOff>
    </xdr:from>
    <xdr:ext cx="16211550" cy="4162425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17</xdr:row>
      <xdr:rowOff>95250</xdr:rowOff>
    </xdr:from>
    <xdr:ext cx="8181975" cy="4162425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</xdr:colOff>
      <xdr:row>15</xdr:row>
      <xdr:rowOff>99060</xdr:rowOff>
    </xdr:from>
    <xdr:to>
      <xdr:col>15</xdr:col>
      <xdr:colOff>167640</xdr:colOff>
      <xdr:row>26</xdr:row>
      <xdr:rowOff>129540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80460" y="2842260"/>
          <a:ext cx="7574280" cy="20421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594360</xdr:colOff>
      <xdr:row>42</xdr:row>
      <xdr:rowOff>121920</xdr:rowOff>
    </xdr:from>
    <xdr:to>
      <xdr:col>15</xdr:col>
      <xdr:colOff>320040</xdr:colOff>
      <xdr:row>54</xdr:row>
      <xdr:rowOff>22860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642360" y="7886700"/>
          <a:ext cx="7764780" cy="2095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5A5A6"/>
  </sheetPr>
  <dimension ref="A1:Z1000"/>
  <sheetViews>
    <sheetView workbookViewId="0">
      <selection activeCell="I21" sqref="I21"/>
    </sheetView>
  </sheetViews>
  <sheetFormatPr defaultColWidth="14.44140625" defaultRowHeight="15" customHeight="1"/>
  <cols>
    <col min="1" max="1" width="22" style="32" customWidth="1"/>
    <col min="2" max="2" width="3" style="32" customWidth="1"/>
    <col min="3" max="3" width="22" style="32" customWidth="1"/>
    <col min="4" max="4" width="3" style="32" customWidth="1"/>
    <col min="5" max="5" width="22" style="32" customWidth="1"/>
    <col min="6" max="6" width="3" style="32" customWidth="1"/>
    <col min="7" max="7" width="22" style="32" customWidth="1"/>
    <col min="8" max="8" width="3" style="32" customWidth="1"/>
    <col min="9" max="26" width="8.6640625" style="32" customWidth="1"/>
  </cols>
  <sheetData>
    <row r="1" spans="1:8" ht="18" customHeight="1">
      <c r="A1" s="52" t="s">
        <v>0</v>
      </c>
      <c r="B1" s="51"/>
      <c r="C1" s="51"/>
      <c r="D1" s="51"/>
      <c r="E1" s="51"/>
      <c r="F1" s="51"/>
      <c r="G1" s="51"/>
      <c r="H1" s="51"/>
    </row>
    <row r="2" spans="1:8" ht="18" customHeight="1">
      <c r="A2" s="51"/>
      <c r="B2" s="51"/>
      <c r="C2" s="51"/>
      <c r="D2" s="51"/>
      <c r="E2" s="51"/>
      <c r="F2" s="51"/>
      <c r="G2" s="51"/>
      <c r="H2" s="51"/>
    </row>
    <row r="4" spans="1:8" ht="14.4" customHeight="1">
      <c r="A4" s="1" t="s">
        <v>1</v>
      </c>
      <c r="C4" s="1" t="s">
        <v>2</v>
      </c>
      <c r="E4" s="1" t="s">
        <v>3</v>
      </c>
      <c r="G4" s="1" t="s">
        <v>4</v>
      </c>
    </row>
    <row r="5" spans="1:8" ht="14.4" customHeight="1">
      <c r="A5" s="2" t="s">
        <v>5</v>
      </c>
      <c r="C5" s="2" t="s">
        <v>6</v>
      </c>
      <c r="E5" s="2" t="s">
        <v>7</v>
      </c>
      <c r="G5" s="2" t="s">
        <v>8</v>
      </c>
    </row>
    <row r="6" spans="1:8" ht="14.4" customHeight="1">
      <c r="A6" s="2" t="s">
        <v>9</v>
      </c>
      <c r="C6" s="2" t="s">
        <v>10</v>
      </c>
      <c r="E6" s="2" t="s">
        <v>11</v>
      </c>
      <c r="G6" s="2" t="s">
        <v>12</v>
      </c>
    </row>
    <row r="7" spans="1:8" ht="14.4" customHeight="1">
      <c r="A7" s="2" t="s">
        <v>13</v>
      </c>
      <c r="C7" s="2" t="s">
        <v>14</v>
      </c>
      <c r="G7" s="2" t="s">
        <v>15</v>
      </c>
    </row>
    <row r="8" spans="1:8" ht="14.4" customHeight="1">
      <c r="A8" s="2" t="s">
        <v>16</v>
      </c>
      <c r="C8" s="2" t="s">
        <v>17</v>
      </c>
    </row>
    <row r="9" spans="1:8" ht="14.4" customHeight="1">
      <c r="A9" s="2" t="s">
        <v>18</v>
      </c>
      <c r="C9" s="2" t="s">
        <v>19</v>
      </c>
    </row>
    <row r="10" spans="1:8" ht="14.4" customHeight="1">
      <c r="C10" s="2" t="s">
        <v>20</v>
      </c>
    </row>
    <row r="13" spans="1:8" ht="14.4" customHeight="1">
      <c r="A13" s="1" t="s">
        <v>21</v>
      </c>
      <c r="C13" s="1" t="s">
        <v>22</v>
      </c>
      <c r="E13" s="1" t="s">
        <v>23</v>
      </c>
      <c r="G13" s="1" t="s">
        <v>24</v>
      </c>
    </row>
    <row r="14" spans="1:8" ht="14.4" customHeight="1">
      <c r="A14" s="2" t="s">
        <v>25</v>
      </c>
      <c r="C14" s="2" t="s">
        <v>26</v>
      </c>
      <c r="E14" s="2" t="s">
        <v>27</v>
      </c>
      <c r="G14" s="2" t="s">
        <v>28</v>
      </c>
    </row>
    <row r="15" spans="1:8" ht="14.4" customHeight="1">
      <c r="A15" s="2" t="s">
        <v>29</v>
      </c>
      <c r="C15" s="2" t="s">
        <v>30</v>
      </c>
      <c r="E15" s="2" t="s">
        <v>31</v>
      </c>
      <c r="G15" s="2" t="s">
        <v>32</v>
      </c>
    </row>
    <row r="16" spans="1:8" ht="14.4" customHeight="1">
      <c r="A16" s="2" t="s">
        <v>33</v>
      </c>
      <c r="C16" s="2" t="s">
        <v>34</v>
      </c>
      <c r="E16" s="2" t="s">
        <v>35</v>
      </c>
      <c r="G16" s="2" t="s">
        <v>36</v>
      </c>
    </row>
    <row r="17" spans="1:8" ht="14.4" customHeight="1">
      <c r="C17" s="2" t="s">
        <v>37</v>
      </c>
      <c r="G17" s="2" t="s">
        <v>38</v>
      </c>
    </row>
    <row r="18" spans="1:8" ht="14.4" customHeight="1">
      <c r="C18" s="2" t="s">
        <v>39</v>
      </c>
    </row>
    <row r="21" spans="1:8" ht="15.75" customHeight="1"/>
    <row r="22" spans="1:8" ht="15.75" customHeight="1">
      <c r="A22" s="3" t="s">
        <v>40</v>
      </c>
      <c r="C22" s="3" t="s">
        <v>41</v>
      </c>
    </row>
    <row r="23" spans="1:8" ht="15.75" customHeight="1">
      <c r="A23" s="4">
        <v>3000000</v>
      </c>
      <c r="C23" s="50" t="s">
        <v>42</v>
      </c>
      <c r="D23" s="51"/>
      <c r="E23" s="51"/>
      <c r="F23" s="51"/>
      <c r="G23" s="51"/>
      <c r="H23" s="51"/>
    </row>
    <row r="24" spans="1:8" ht="15.75" customHeight="1">
      <c r="C24" s="50" t="s">
        <v>43</v>
      </c>
      <c r="D24" s="51"/>
      <c r="E24" s="51"/>
      <c r="F24" s="51"/>
      <c r="G24" s="51"/>
      <c r="H24" s="51"/>
    </row>
    <row r="25" spans="1:8" ht="15.75" customHeight="1">
      <c r="C25" s="50" t="s">
        <v>44</v>
      </c>
      <c r="D25" s="51"/>
      <c r="E25" s="51"/>
      <c r="F25" s="51"/>
      <c r="G25" s="51"/>
      <c r="H25" s="51"/>
    </row>
    <row r="26" spans="1:8" ht="15.75" customHeight="1">
      <c r="C26" s="50" t="s">
        <v>45</v>
      </c>
      <c r="D26" s="51"/>
      <c r="E26" s="51"/>
      <c r="F26" s="51"/>
      <c r="G26" s="51"/>
      <c r="H26" s="51"/>
    </row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25:H25"/>
    <mergeCell ref="C24:H24"/>
    <mergeCell ref="C23:H23"/>
    <mergeCell ref="C26:H26"/>
    <mergeCell ref="A1:H2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A4A5A"/>
  </sheetPr>
  <dimension ref="A1:Z1000"/>
  <sheetViews>
    <sheetView topLeftCell="A40" workbookViewId="0">
      <selection activeCell="M26" sqref="M26"/>
    </sheetView>
  </sheetViews>
  <sheetFormatPr defaultColWidth="14.44140625" defaultRowHeight="15" customHeight="1"/>
  <cols>
    <col min="1" max="1" width="22" style="32" customWidth="1"/>
    <col min="2" max="2" width="14" style="32" customWidth="1"/>
    <col min="3" max="3" width="11" style="32" customWidth="1"/>
    <col min="4" max="4" width="10" style="32" customWidth="1"/>
    <col min="5" max="6" width="14" style="32" customWidth="1"/>
    <col min="7" max="7" width="16" style="32" customWidth="1"/>
    <col min="8" max="8" width="18" style="32" customWidth="1"/>
    <col min="9" max="9" width="14" style="32" customWidth="1"/>
    <col min="10" max="10" width="11" style="32" customWidth="1"/>
    <col min="11" max="11" width="16" style="32" customWidth="1"/>
    <col min="12" max="14" width="13" style="32" customWidth="1"/>
    <col min="15" max="16" width="22" style="32" customWidth="1"/>
    <col min="17" max="19" width="8.6640625" style="32" customWidth="1"/>
    <col min="20" max="20" width="15.6640625" style="32" customWidth="1"/>
    <col min="21" max="26" width="8.6640625" style="32" customWidth="1"/>
  </cols>
  <sheetData>
    <row r="1" spans="1:22" ht="21.75" customHeight="1">
      <c r="A1" s="58" t="s">
        <v>46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22" ht="21.75" customHeigh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</row>
    <row r="3" spans="1:22" ht="48" customHeight="1">
      <c r="S3" s="5" t="s">
        <v>47</v>
      </c>
      <c r="T3" s="5" t="s">
        <v>48</v>
      </c>
      <c r="U3" s="5" t="s">
        <v>49</v>
      </c>
      <c r="V3" s="5" t="s">
        <v>50</v>
      </c>
    </row>
    <row r="4" spans="1:22" ht="27.75" customHeight="1">
      <c r="A4" s="53" t="s">
        <v>51</v>
      </c>
      <c r="B4" s="51"/>
      <c r="C4" s="51"/>
      <c r="D4" s="51"/>
      <c r="E4" s="53" t="s">
        <v>52</v>
      </c>
      <c r="F4" s="51"/>
      <c r="G4" s="51"/>
      <c r="H4" s="51"/>
      <c r="I4" s="53" t="s">
        <v>53</v>
      </c>
      <c r="J4" s="51"/>
      <c r="K4" s="51"/>
      <c r="L4" s="51"/>
      <c r="M4" s="53" t="s">
        <v>54</v>
      </c>
      <c r="N4" s="51"/>
      <c r="O4" s="51"/>
      <c r="P4" s="51"/>
      <c r="S4" s="6" t="s">
        <v>55</v>
      </c>
      <c r="T4" s="17">
        <v>15000000</v>
      </c>
      <c r="U4" s="17">
        <f>SUMPRODUCT(IFERROR((MONTH('👤 Mew'!L58:L228)=1)*(YEAR('👤 Mew'!L58:L228)=2026),0)*'👤 Mew'!I58:I228)+SUMPRODUCT(IFERROR((MONTH('👤 Napat'!L42:L144)=1)*(YEAR('👤 Napat'!L42:L144)=2026),0)*'👤 Napat'!I42:I144)+SUMPRODUCT(IFERROR((MONTH('👤 Tan'!L52:L151)=1)*(YEAR('👤 Tan'!L52:L151)=2026),0)*'👤 Tan'!I52:I151)+SUMPRODUCT(IFERROR((MONTH('👤 Aoey'!L42:L141)=1)*(YEAR('👤 Aoey'!L42:L141)=2026),0)*'👤 Aoey'!I42:I141)+SUMPRODUCT(IFERROR((MONTH('👤 Other Sales'!L42:L141)=1)*(YEAR('👤 Other Sales'!L42:L141)=2026),0)*'👤 Other Sales'!I42:I141)</f>
        <v>0</v>
      </c>
      <c r="V4" s="17">
        <f>SUMPRODUCT(IFERROR((MONTH('👤 Mew'!M58:M228)=1)*(YEAR('👤 Mew'!M58:M228)=2026),0)*'👤 Mew'!I58:I228)+SUMPRODUCT(IFERROR((MONTH('👤 Napat'!M42:M144)=1)*(YEAR('👤 Napat'!M42:M144)=2026),0)*'👤 Napat'!I42:I144)+SUMPRODUCT(IFERROR((MONTH('👤 Tan'!M52:M151)=1)*(YEAR('👤 Tan'!M52:M151)=2026),0)*'👤 Tan'!I52:I151)+SUMPRODUCT(IFERROR((MONTH('👤 Aoey'!M42:M141)=1)*(YEAR('👤 Aoey'!M42:M141)=2026),0)*'👤 Aoey'!I42:I141)+SUMPRODUCT(IFERROR((MONTH('👤 Other Sales'!M42:M141)=1)*(YEAR('👤 Other Sales'!M42:M141)=2026),0)*'👤 Other Sales'!I42:I141)</f>
        <v>0</v>
      </c>
    </row>
    <row r="5" spans="1:22" ht="18" customHeight="1">
      <c r="A5" s="59">
        <f ca="1">SUMIF('👤 Mew'!B42:B228,"&lt;&gt;Delivered",'👤 Mew'!I58:I228)+SUMIF('👤 Napat'!B42:B144,"&lt;&gt;Delivered",'👤 Napat'!I42:I144)+SUMIF('👤 Tan'!B52:B151,"&lt;&gt;Delivered",'👤 Tan'!I52:I151)+SUMIF('👤 Aoey'!B42:B141,"&lt;&gt;Delivered",'👤 Aoey'!I42:I141)+SUMIF('👤 Other Sales'!B42:B141,"&lt;&gt;Delivered",'👤 Other Sales'!I42:I141)</f>
        <v>68955469</v>
      </c>
      <c r="B5" s="55"/>
      <c r="C5" s="55"/>
      <c r="D5" s="55"/>
      <c r="E5" s="59">
        <f>SUM('👤 Mew'!K42:K228)+SUM('👤 Napat'!K42:K144)+SUM('👤 Tan'!K52:K151)+SUM('👤 Aoey'!K42:K141)+SUM('👤 Other Sales'!K42:K141)</f>
        <v>95155473.599999994</v>
      </c>
      <c r="F5" s="55"/>
      <c r="G5" s="55"/>
      <c r="H5" s="55"/>
      <c r="I5" s="59">
        <f ca="1">SUMPRODUCT(('👤 Mew'!B42:B228="Deal Signed")*IFERROR((MONTH('👤 Mew'!L42:L228)=MONTH(TODAY()))*(YEAR('👤 Mew'!L42:L228)=YEAR(TODAY())),0)*'👤 Mew'!I42:I228)+SUMPRODUCT(('👤 Mew'!B42:B228="Delivered")*IFERROR((MONTH('👤 Mew'!L42:L228)=MONTH(TODAY()))*(YEAR('👤 Mew'!L42:L228)=YEAR(TODAY())),0)*'👤 Mew'!I42:I228)+SUMPRODUCT(('👤 Napat'!B42:B144="Deal Signed")*IFERROR((MONTH('👤 Napat'!L42:L144)=MONTH(TODAY()))*(YEAR('👤 Napat'!L42:L144)=YEAR(TODAY())),0)*'👤 Napat'!I42:I144)+SUMPRODUCT(('👤 Napat'!B42:B144="Delivered")*IFERROR((MONTH('👤 Napat'!L42:L144)=MONTH(TODAY()))*(YEAR('👤 Napat'!L42:L144)=YEAR(TODAY())),0)*'👤 Napat'!I42:I144)+SUMPRODUCT(('👤 Tan'!B52:B151="Deal Signed")*IFERROR((MONTH('👤 Tan'!L52:L151)=MONTH(TODAY()))*(YEAR('👤 Tan'!L52:L151)=YEAR(TODAY())),0)*'👤 Tan'!I52:I151)+SUMPRODUCT(('👤 Tan'!B52:B151="Delivered")*IFERROR((MONTH('👤 Tan'!L52:L151)=MONTH(TODAY()))*(YEAR('👤 Tan'!L52:L151)=YEAR(TODAY())),0)*'👤 Tan'!I52:I151)+SUMPRODUCT(('👤 Aoey'!B42:B141="Deal Signed")*IFERROR((MONTH('👤 Aoey'!L42:L141)=MONTH(TODAY()))*(YEAR('👤 Aoey'!L42:L141)=YEAR(TODAY())),0)*'👤 Aoey'!I42:I141)+SUMPRODUCT(('👤 Aoey'!B42:B141="Delivered")*IFERROR((MONTH('👤 Aoey'!L42:L141)=MONTH(TODAY()))*(YEAR('👤 Aoey'!L42:L141)=YEAR(TODAY())),0)*'👤 Aoey'!I42:I141)+SUMPRODUCT(('👤 Other Sales'!B42:B141="Deal Signed")*IFERROR((MONTH('👤 Other Sales'!L42:L141)=MONTH(TODAY()))*(YEAR('👤 Other Sales'!L42:L141)=YEAR(TODAY())),0)*'👤 Other Sales'!I42:I141)+SUMPRODUCT(('👤 Other Sales'!B42:B141="Delivered")*IFERROR((MONTH('👤 Other Sales'!L42:L141)=MONTH(TODAY()))*(YEAR('👤 Other Sales'!L42:L141)=YEAR(TODAY())),0)*'👤 Other Sales'!I42:I141)</f>
        <v>0</v>
      </c>
      <c r="J5" s="55"/>
      <c r="K5" s="55"/>
      <c r="L5" s="55"/>
      <c r="M5" s="54">
        <f>SUM(E11:E15)</f>
        <v>12000000</v>
      </c>
      <c r="N5" s="55"/>
      <c r="O5" s="55"/>
      <c r="P5" s="55"/>
      <c r="S5" s="7" t="s">
        <v>56</v>
      </c>
      <c r="T5" s="16">
        <v>15000000</v>
      </c>
      <c r="U5" s="16">
        <f>SUMPRODUCT(IFERROR((MONTH('👤 Mew'!L58:L228)=2)*(YEAR('👤 Mew'!L58:L228)=2026),0)*'👤 Mew'!I58:I228)+SUMPRODUCT(IFERROR((MONTH('👤 Napat'!L42:L144)=2)*(YEAR('👤 Napat'!L42:L144)=2026),0)*'👤 Napat'!I42:I144)+SUMPRODUCT(IFERROR((MONTH('👤 Tan'!L52:L151)=2)*(YEAR('👤 Tan'!L52:L151)=2026),0)*'👤 Tan'!I52:I151)+SUMPRODUCT(IFERROR((MONTH('👤 Aoey'!L42:L141)=2)*(YEAR('👤 Aoey'!L42:L141)=2026),0)*'👤 Aoey'!I42:I141)+SUMPRODUCT(IFERROR((MONTH('👤 Other Sales'!L42:L141)=2)*(YEAR('👤 Other Sales'!L42:L141)=2026),0)*'👤 Other Sales'!I42:I141)</f>
        <v>0</v>
      </c>
      <c r="V5" s="16">
        <f>SUMPRODUCT(IFERROR((MONTH('👤 Mew'!M58:M228)=2)*(YEAR('👤 Mew'!M58:M228)=2026),0)*'👤 Mew'!I58:I228)+SUMPRODUCT(IFERROR((MONTH('👤 Napat'!M42:M144)=2)*(YEAR('👤 Napat'!M42:M144)=2026),0)*'👤 Napat'!I42:I144)+SUMPRODUCT(IFERROR((MONTH('👤 Tan'!M52:M151)=2)*(YEAR('👤 Tan'!M52:M151)=2026),0)*'👤 Tan'!I52:I151)+SUMPRODUCT(IFERROR((MONTH('👤 Aoey'!M42:M141)=2)*(YEAR('👤 Aoey'!M42:M141)=2026),0)*'👤 Aoey'!I42:I141)+SUMPRODUCT(IFERROR((MONTH('👤 Other Sales'!M42:M141)=2)*(YEAR('👤 Other Sales'!M42:M141)=2026),0)*'👤 Other Sales'!I42:I141)</f>
        <v>0</v>
      </c>
    </row>
    <row r="6" spans="1:22" ht="18" customHeight="1">
      <c r="A6" s="56"/>
      <c r="B6" s="51"/>
      <c r="C6" s="51"/>
      <c r="D6" s="51"/>
      <c r="E6" s="56"/>
      <c r="F6" s="51"/>
      <c r="G6" s="51"/>
      <c r="H6" s="51"/>
      <c r="I6" s="56"/>
      <c r="J6" s="51"/>
      <c r="K6" s="51"/>
      <c r="L6" s="51"/>
      <c r="M6" s="56"/>
      <c r="N6" s="51"/>
      <c r="O6" s="51"/>
      <c r="P6" s="51"/>
      <c r="S6" s="6" t="s">
        <v>57</v>
      </c>
      <c r="T6" s="17">
        <v>15000000</v>
      </c>
      <c r="U6" s="17">
        <f>SUMPRODUCT(IFERROR((MONTH('👤 Mew'!L58:L228)=3)*(YEAR('👤 Mew'!L58:L228)=2026),0)*'👤 Mew'!I58:I228)+SUMPRODUCT(IFERROR((MONTH('👤 Napat'!L42:L144)=3)*(YEAR('👤 Napat'!L42:L144)=2026),0)*'👤 Napat'!I42:I144)+SUMPRODUCT(IFERROR((MONTH('👤 Tan'!L52:L151)=3)*(YEAR('👤 Tan'!L52:L151)=2026),0)*'👤 Tan'!I52:I151)+SUMPRODUCT(IFERROR((MONTH('👤 Aoey'!L42:L141)=3)*(YEAR('👤 Aoey'!L42:L141)=2026),0)*'👤 Aoey'!I42:I141)+SUMPRODUCT(IFERROR((MONTH('👤 Other Sales'!L42:L141)=3)*(YEAR('👤 Other Sales'!L42:L141)=2026),0)*'👤 Other Sales'!I42:I141)</f>
        <v>0</v>
      </c>
      <c r="V6" s="17">
        <f>SUMPRODUCT(IFERROR((MONTH('👤 Mew'!M58:M228)=3)*(YEAR('👤 Mew'!M58:M228)=2026),0)*'👤 Mew'!I58:I228)+SUMPRODUCT(IFERROR((MONTH('👤 Napat'!M42:M144)=3)*(YEAR('👤 Napat'!M42:M144)=2026),0)*'👤 Napat'!I42:I144)+SUMPRODUCT(IFERROR((MONTH('👤 Tan'!M52:M151)=3)*(YEAR('👤 Tan'!M52:M151)=2026),0)*'👤 Tan'!I52:I151)+SUMPRODUCT(IFERROR((MONTH('👤 Aoey'!M42:M141)=3)*(YEAR('👤 Aoey'!M42:M141)=2026),0)*'👤 Aoey'!I42:I141)+SUMPRODUCT(IFERROR((MONTH('👤 Other Sales'!M42:M141)=3)*(YEAR('👤 Other Sales'!M42:M141)=2026),0)*'👤 Other Sales'!I42:I141)</f>
        <v>0</v>
      </c>
    </row>
    <row r="7" spans="1:22" ht="18" customHeight="1">
      <c r="A7" s="56"/>
      <c r="B7" s="51"/>
      <c r="C7" s="51"/>
      <c r="D7" s="51"/>
      <c r="E7" s="56"/>
      <c r="F7" s="51"/>
      <c r="G7" s="51"/>
      <c r="H7" s="51"/>
      <c r="I7" s="56"/>
      <c r="J7" s="51"/>
      <c r="K7" s="51"/>
      <c r="L7" s="51"/>
      <c r="M7" s="56"/>
      <c r="N7" s="51"/>
      <c r="O7" s="51"/>
      <c r="P7" s="51"/>
      <c r="S7" s="7" t="s">
        <v>58</v>
      </c>
      <c r="T7" s="16">
        <v>15000000</v>
      </c>
      <c r="U7" s="16">
        <f>SUMPRODUCT(IFERROR((MONTH('👤 Mew'!L58:L228)=4)*(YEAR('👤 Mew'!L58:L228)=2026),0)*'👤 Mew'!I58:I228)+SUMPRODUCT(IFERROR((MONTH('👤 Napat'!L42:L144)=4)*(YEAR('👤 Napat'!L42:L144)=2026),0)*'👤 Napat'!I42:I144)+SUMPRODUCT(IFERROR((MONTH('👤 Tan'!L52:L151)=4)*(YEAR('👤 Tan'!L52:L151)=2026),0)*'👤 Tan'!I52:I151)+SUMPRODUCT(IFERROR((MONTH('👤 Aoey'!L42:L141)=4)*(YEAR('👤 Aoey'!L42:L141)=2026),0)*'👤 Aoey'!I42:I141)+SUMPRODUCT(IFERROR((MONTH('👤 Other Sales'!L42:L141)=4)*(YEAR('👤 Other Sales'!L42:L141)=2026),0)*'👤 Other Sales'!I42:I141)</f>
        <v>0</v>
      </c>
      <c r="V7" s="16">
        <f>SUMPRODUCT(IFERROR((MONTH('👤 Mew'!M58:M228)=4)*(YEAR('👤 Mew'!M58:M228)=2026),0)*'👤 Mew'!I58:I228)+SUMPRODUCT(IFERROR((MONTH('👤 Napat'!M42:M144)=4)*(YEAR('👤 Napat'!M42:M144)=2026),0)*'👤 Napat'!I42:I144)+SUMPRODUCT(IFERROR((MONTH('👤 Tan'!M52:M151)=4)*(YEAR('👤 Tan'!M52:M151)=2026),0)*'👤 Tan'!I52:I151)+SUMPRODUCT(IFERROR((MONTH('👤 Aoey'!M42:M141)=4)*(YEAR('👤 Aoey'!M42:M141)=2026),0)*'👤 Aoey'!I42:I141)+SUMPRODUCT(IFERROR((MONTH('👤 Other Sales'!M42:M141)=4)*(YEAR('👤 Other Sales'!M42:M141)=2026),0)*'👤 Other Sales'!I42:I141)</f>
        <v>0</v>
      </c>
    </row>
    <row r="8" spans="1:22" ht="14.4" customHeight="1">
      <c r="S8" s="6" t="s">
        <v>59</v>
      </c>
      <c r="T8" s="17">
        <v>15000000</v>
      </c>
      <c r="U8" s="17">
        <f>SUMPRODUCT(IFERROR((MONTH('👤 Mew'!L58:L228)=5)*(YEAR('👤 Mew'!L58:L228)=2026),0)*'👤 Mew'!I58:I228)+SUMPRODUCT(IFERROR((MONTH('👤 Napat'!L42:L144)=5)*(YEAR('👤 Napat'!L42:L144)=2026),0)*'👤 Napat'!I42:I144)+SUMPRODUCT(IFERROR((MONTH('👤 Tan'!L52:L151)=5)*(YEAR('👤 Tan'!L52:L151)=2026),0)*'👤 Tan'!I52:I151)+SUMPRODUCT(IFERROR((MONTH('👤 Aoey'!L42:L141)=5)*(YEAR('👤 Aoey'!L42:L141)=2026),0)*'👤 Aoey'!I42:I141)+SUMPRODUCT(IFERROR((MONTH('👤 Other Sales'!L42:L141)=5)*(YEAR('👤 Other Sales'!L42:L141)=2026),0)*'👤 Other Sales'!I42:I141)</f>
        <v>0</v>
      </c>
      <c r="V8" s="17">
        <f>SUMPRODUCT(IFERROR((MONTH('👤 Mew'!M58:M228)=5)*(YEAR('👤 Mew'!M58:M228)=2026),0)*'👤 Mew'!I58:I228)+SUMPRODUCT(IFERROR((MONTH('👤 Napat'!M42:M144)=5)*(YEAR('👤 Napat'!M42:M144)=2026),0)*'👤 Napat'!I42:I144)+SUMPRODUCT(IFERROR((MONTH('👤 Tan'!M52:M151)=5)*(YEAR('👤 Tan'!M52:M151)=2026),0)*'👤 Tan'!I52:I151)+SUMPRODUCT(IFERROR((MONTH('👤 Aoey'!M42:M141)=5)*(YEAR('👤 Aoey'!M42:M141)=2026),0)*'👤 Aoey'!I42:I141)+SUMPRODUCT(IFERROR((MONTH('👤 Other Sales'!M42:M141)=5)*(YEAR('👤 Other Sales'!M42:M141)=2026),0)*'👤 Other Sales'!I42:I141)</f>
        <v>0</v>
      </c>
    </row>
    <row r="9" spans="1:22" ht="14.4" customHeight="1">
      <c r="A9" s="57" t="s">
        <v>60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S9" s="7" t="s">
        <v>61</v>
      </c>
      <c r="T9" s="16">
        <v>15000000</v>
      </c>
      <c r="U9" s="16">
        <f>SUMPRODUCT(IFERROR((MONTH('👤 Mew'!L58:L228)=6)*(YEAR('👤 Mew'!L58:L228)=2026),0)*'👤 Mew'!I58:I228)+SUMPRODUCT(IFERROR((MONTH('👤 Napat'!L42:L144)=6)*(YEAR('👤 Napat'!L42:L144)=2026),0)*'👤 Napat'!I42:I144)+SUMPRODUCT(IFERROR((MONTH('👤 Tan'!L52:L151)=6)*(YEAR('👤 Tan'!L52:L151)=2026),0)*'👤 Tan'!I52:I151)+SUMPRODUCT(IFERROR((MONTH('👤 Aoey'!L42:L141)=6)*(YEAR('👤 Aoey'!L42:L141)=2026),0)*'👤 Aoey'!I42:I141)+SUMPRODUCT(IFERROR((MONTH('👤 Other Sales'!L42:L141)=6)*(YEAR('👤 Other Sales'!L42:L141)=2026),0)*'👤 Other Sales'!I42:I141)</f>
        <v>0</v>
      </c>
      <c r="V9" s="16">
        <f>SUMPRODUCT(IFERROR((MONTH('👤 Mew'!M58:M228)=6)*(YEAR('👤 Mew'!M58:M228)=2026),0)*'👤 Mew'!I58:I228)+SUMPRODUCT(IFERROR((MONTH('👤 Napat'!M42:M144)=6)*(YEAR('👤 Napat'!M42:M144)=2026),0)*'👤 Napat'!I42:I144)+SUMPRODUCT(IFERROR((MONTH('👤 Tan'!M52:M151)=6)*(YEAR('👤 Tan'!M52:M151)=2026),0)*'👤 Tan'!I52:I151)+SUMPRODUCT(IFERROR((MONTH('👤 Aoey'!M42:M141)=6)*(YEAR('👤 Aoey'!M42:M141)=2026),0)*'👤 Aoey'!I42:I141)+SUMPRODUCT(IFERROR((MONTH('👤 Other Sales'!M42:M141)=6)*(YEAR('👤 Other Sales'!M42:M141)=2026),0)*'👤 Other Sales'!I42:I141)</f>
        <v>0</v>
      </c>
    </row>
    <row r="10" spans="1:22" ht="34.799999999999997" customHeight="1">
      <c r="A10" s="5" t="s">
        <v>62</v>
      </c>
      <c r="B10" s="5" t="s">
        <v>63</v>
      </c>
      <c r="C10" s="5" t="s">
        <v>64</v>
      </c>
      <c r="D10" s="5" t="s">
        <v>65</v>
      </c>
      <c r="E10" s="5" t="s">
        <v>66</v>
      </c>
      <c r="F10" s="5" t="s">
        <v>67</v>
      </c>
      <c r="G10" s="5" t="s">
        <v>68</v>
      </c>
      <c r="H10" s="5" t="s">
        <v>69</v>
      </c>
      <c r="I10" s="5" t="s">
        <v>70</v>
      </c>
      <c r="J10" s="5" t="s">
        <v>71</v>
      </c>
      <c r="S10" s="6" t="s">
        <v>72</v>
      </c>
      <c r="T10" s="17">
        <v>15000000</v>
      </c>
      <c r="U10" s="17">
        <f>SUMPRODUCT(IFERROR((MONTH('👤 Mew'!L58:L228)=7)*(YEAR('👤 Mew'!L58:L228)=2026),0)*'👤 Mew'!I58:I228)+SUMPRODUCT(IFERROR((MONTH('👤 Napat'!L42:L144)=7)*(YEAR('👤 Napat'!L42:L144)=2026),0)*'👤 Napat'!I42:I144)+SUMPRODUCT(IFERROR((MONTH('👤 Tan'!L52:L151)=7)*(YEAR('👤 Tan'!L52:L151)=2026),0)*'👤 Tan'!I52:I151)+SUMPRODUCT(IFERROR((MONTH('👤 Aoey'!L42:L141)=7)*(YEAR('👤 Aoey'!L42:L141)=2026),0)*'👤 Aoey'!I42:I141)+SUMPRODUCT(IFERROR((MONTH('👤 Other Sales'!L42:L141)=7)*(YEAR('👤 Other Sales'!L42:L141)=2026),0)*'👤 Other Sales'!I42:I141)</f>
        <v>0</v>
      </c>
      <c r="V10" s="17">
        <f>SUMPRODUCT(IFERROR((MONTH('👤 Mew'!M58:M228)=7)*(YEAR('👤 Mew'!M58:M228)=2026),0)*'👤 Mew'!I58:I228)+SUMPRODUCT(IFERROR((MONTH('👤 Napat'!M42:M144)=7)*(YEAR('👤 Napat'!M42:M144)=2026),0)*'👤 Napat'!I42:I144)+SUMPRODUCT(IFERROR((MONTH('👤 Tan'!M52:M151)=7)*(YEAR('👤 Tan'!M52:M151)=2026),0)*'👤 Tan'!I52:I151)+SUMPRODUCT(IFERROR((MONTH('👤 Aoey'!M42:M141)=7)*(YEAR('👤 Aoey'!M42:M141)=2026),0)*'👤 Aoey'!I42:I141)+SUMPRODUCT(IFERROR((MONTH('👤 Other Sales'!M42:M141)=7)*(YEAR('👤 Other Sales'!M42:M141)=2026),0)*'👤 Other Sales'!I42:I141)</f>
        <v>0</v>
      </c>
    </row>
    <row r="11" spans="1:22" ht="14.4" customHeight="1">
      <c r="A11" s="8" t="s">
        <v>5</v>
      </c>
      <c r="B11" s="19">
        <f>SUMIF('👤 Mew'!B42:B228,"&lt;&gt;Delivered",'👤 Mew'!I42:I228)</f>
        <v>8725490</v>
      </c>
      <c r="C11" s="19">
        <f>SUM('👤 Mew'!K42:K228)</f>
        <v>33968159</v>
      </c>
      <c r="D11" s="19">
        <f ca="1">SUMPRODUCT(('👤 Mew'!B42:B228="Deal Signed")*IFERROR((MONTH('👤 Mew'!L42:L228)=MONTH(TODAY()))*(YEAR('👤 Mew'!L42:L228)=YEAR(TODAY())),0)*'👤 Mew'!I42:I228)+SUMPRODUCT(('👤 Mew'!B42:B228="Delivered")*IFERROR((MONTH('👤 Mew'!L42:L228)=MONTH(TODAY()))*(YEAR('👤 Mew'!L42:L228)=YEAR(TODAY())),0)*'👤 Mew'!I42:I228)</f>
        <v>0</v>
      </c>
      <c r="E11" s="9">
        <f>'⚙ Control Panel'!$A$23</f>
        <v>3000000</v>
      </c>
      <c r="F11" s="37">
        <f t="shared" ref="F11:F16" ca="1" si="0">IFERROR(D11/E11,0)</f>
        <v>0</v>
      </c>
      <c r="G11" s="19">
        <f>COUNTIF('👤 Mew'!D42:D228,"High")</f>
        <v>25</v>
      </c>
      <c r="H11" s="19">
        <f>COUNTIF('👤 Mew'!B58:B228,"Negotiating")</f>
        <v>0</v>
      </c>
      <c r="I11" s="19">
        <f>COUNTIF('👤 Mew'!B42:B228,"Deal Signed")</f>
        <v>16</v>
      </c>
      <c r="J11" s="19">
        <f>COUNTIF('👤 Mew'!B42:B228,"Delivered")</f>
        <v>99</v>
      </c>
      <c r="S11" s="7" t="s">
        <v>73</v>
      </c>
      <c r="T11" s="16">
        <v>15000000</v>
      </c>
      <c r="U11" s="16">
        <f>SUMPRODUCT(IFERROR((MONTH('👤 Mew'!L58:L228)=8)*(YEAR('👤 Mew'!L58:L228)=2026),0)*'👤 Mew'!I58:I228)+SUMPRODUCT(IFERROR((MONTH('👤 Napat'!L42:L144)=8)*(YEAR('👤 Napat'!L42:L144)=2026),0)*'👤 Napat'!I42:I144)+SUMPRODUCT(IFERROR((MONTH('👤 Tan'!L52:L151)=8)*(YEAR('👤 Tan'!L52:L151)=2026),0)*'👤 Tan'!I52:I151)+SUMPRODUCT(IFERROR((MONTH('👤 Aoey'!L42:L141)=8)*(YEAR('👤 Aoey'!L42:L141)=2026),0)*'👤 Aoey'!I42:I141)+SUMPRODUCT(IFERROR((MONTH('👤 Other Sales'!L42:L141)=8)*(YEAR('👤 Other Sales'!L42:L141)=2026),0)*'👤 Other Sales'!I42:I141)</f>
        <v>0</v>
      </c>
      <c r="V11" s="16">
        <f>SUMPRODUCT(IFERROR((MONTH('👤 Mew'!M58:M228)=8)*(YEAR('👤 Mew'!M58:M228)=2026),0)*'👤 Mew'!I58:I228)+SUMPRODUCT(IFERROR((MONTH('👤 Napat'!M42:M144)=8)*(YEAR('👤 Napat'!M42:M144)=2026),0)*'👤 Napat'!I42:I144)+SUMPRODUCT(IFERROR((MONTH('👤 Tan'!M52:M151)=8)*(YEAR('👤 Tan'!M52:M151)=2026),0)*'👤 Tan'!I52:I151)+SUMPRODUCT(IFERROR((MONTH('👤 Aoey'!M42:M141)=8)*(YEAR('👤 Aoey'!M42:M141)=2026),0)*'👤 Aoey'!I42:I141)+SUMPRODUCT(IFERROR((MONTH('👤 Other Sales'!M42:M141)=8)*(YEAR('👤 Other Sales'!M42:M141)=2026),0)*'👤 Other Sales'!I42:I141)</f>
        <v>0</v>
      </c>
    </row>
    <row r="12" spans="1:22" ht="14.4" customHeight="1">
      <c r="A12" s="8" t="s">
        <v>9</v>
      </c>
      <c r="B12" s="19">
        <f>SUMIF('👤 Napat'!B42:B144,"&lt;&gt;Delivered",'👤 Napat'!I42:I144)</f>
        <v>15480135</v>
      </c>
      <c r="C12" s="19">
        <f>SUM('👤 Napat'!K42:K144)</f>
        <v>11678201.6</v>
      </c>
      <c r="D12" s="19">
        <f ca="1">SUMPRODUCT(('👤 Napat'!B42:B144="Deal Signed")*IFERROR((MONTH('👤 Napat'!L42:L144)=MONTH(TODAY()))*(YEAR('👤 Napat'!L42:L144)=YEAR(TODAY())),0)*'👤 Napat'!I42:I144)+SUMPRODUCT(('👤 Napat'!B42:B144="Delivered")*IFERROR((MONTH('👤 Napat'!L42:L144)=MONTH(TODAY()))*(YEAR('👤 Napat'!L42:L144)=YEAR(TODAY())),0)*'👤 Napat'!I42:I144)</f>
        <v>0</v>
      </c>
      <c r="E12" s="9">
        <f>'⚙ Control Panel'!$A$23</f>
        <v>3000000</v>
      </c>
      <c r="F12" s="37">
        <f t="shared" ca="1" si="0"/>
        <v>0</v>
      </c>
      <c r="G12" s="19">
        <f>COUNTIF('👤 Napat'!D42:D144,"High")</f>
        <v>9</v>
      </c>
      <c r="H12" s="19">
        <f>COUNTIF('👤 Napat'!B42:B144,"Negotiating")</f>
        <v>0</v>
      </c>
      <c r="I12" s="19">
        <f>COUNTIF('👤 Napat'!B42:B144,"Deal Signed")</f>
        <v>0</v>
      </c>
      <c r="J12" s="19">
        <f>COUNTIF('👤 Napat'!B42:B144,"Delivered")</f>
        <v>7</v>
      </c>
      <c r="S12" s="6" t="s">
        <v>74</v>
      </c>
      <c r="T12" s="17">
        <v>15000000</v>
      </c>
      <c r="U12" s="17">
        <f>SUMPRODUCT(IFERROR((MONTH('👤 Mew'!L58:L228)=9)*(YEAR('👤 Mew'!L58:L228)=2026),0)*'👤 Mew'!I58:I228)+SUMPRODUCT(IFERROR((MONTH('👤 Napat'!L42:L144)=9)*(YEAR('👤 Napat'!L42:L144)=2026),0)*'👤 Napat'!I42:I144)+SUMPRODUCT(IFERROR((MONTH('👤 Tan'!L52:L151)=9)*(YEAR('👤 Tan'!L52:L151)=2026),0)*'👤 Tan'!I52:I151)+SUMPRODUCT(IFERROR((MONTH('👤 Aoey'!L42:L141)=9)*(YEAR('👤 Aoey'!L42:L141)=2026),0)*'👤 Aoey'!I42:I141)+SUMPRODUCT(IFERROR((MONTH('👤 Other Sales'!L42:L141)=9)*(YEAR('👤 Other Sales'!L42:L141)=2026),0)*'👤 Other Sales'!I42:I141)</f>
        <v>0</v>
      </c>
      <c r="V12" s="17">
        <f>SUMPRODUCT(IFERROR((MONTH('👤 Mew'!M58:M228)=9)*(YEAR('👤 Mew'!M58:M228)=2026),0)*'👤 Mew'!I58:I228)+SUMPRODUCT(IFERROR((MONTH('👤 Napat'!M42:M144)=9)*(YEAR('👤 Napat'!M42:M144)=2026),0)*'👤 Napat'!I42:I144)+SUMPRODUCT(IFERROR((MONTH('👤 Tan'!M52:M151)=9)*(YEAR('👤 Tan'!M52:M151)=2026),0)*'👤 Tan'!I52:I151)+SUMPRODUCT(IFERROR((MONTH('👤 Aoey'!M42:M141)=9)*(YEAR('👤 Aoey'!M42:M141)=2026),0)*'👤 Aoey'!I42:I141)+SUMPRODUCT(IFERROR((MONTH('👤 Other Sales'!M42:M141)=9)*(YEAR('👤 Other Sales'!M42:M141)=2026),0)*'👤 Other Sales'!I42:I141)</f>
        <v>0</v>
      </c>
    </row>
    <row r="13" spans="1:22" ht="14.4" customHeight="1">
      <c r="A13" s="8" t="s">
        <v>13</v>
      </c>
      <c r="B13" s="19">
        <f>SUMIF('👤 Tan'!B52:B151,"&lt;&gt;Delivered",'👤 Tan'!I52:I151)</f>
        <v>50605750</v>
      </c>
      <c r="C13" s="19">
        <f>SUM('👤 Tan'!K52:K151)</f>
        <v>48716158</v>
      </c>
      <c r="D13" s="19">
        <f ca="1">SUMPRODUCT(('👤 Tan'!B52:B151="Deal Signed")*IFERROR((MONTH('👤 Tan'!L52:L151)=MONTH(TODAY()))*(YEAR('👤 Tan'!L52:L151)=YEAR(TODAY())),0)*'👤 Tan'!I52:I151)+SUMPRODUCT(('👤 Tan'!B52:B151="Delivered")*IFERROR((MONTH('👤 Tan'!L52:L151)=MONTH(TODAY()))*(YEAR('👤 Tan'!L52:L151)=YEAR(TODAY())),0)*'👤 Tan'!I52:I151)</f>
        <v>0</v>
      </c>
      <c r="E13" s="9">
        <f>'⚙ Control Panel'!$A$23</f>
        <v>3000000</v>
      </c>
      <c r="F13" s="37">
        <f t="shared" ca="1" si="0"/>
        <v>0</v>
      </c>
      <c r="G13" s="19">
        <f>COUNTIF('👤 Tan'!D52:D151,"High")</f>
        <v>14</v>
      </c>
      <c r="H13" s="19">
        <f>COUNTIF('👤 Tan'!B52:B151,"Negotiating")</f>
        <v>3</v>
      </c>
      <c r="I13" s="19">
        <f>COUNTIF('👤 Tan'!B52:B151,"Deal Signed")</f>
        <v>7</v>
      </c>
      <c r="J13" s="19">
        <f>COUNTIF('👤 Tan'!B52:B151,"Delivered")</f>
        <v>0</v>
      </c>
      <c r="S13" s="7" t="s">
        <v>75</v>
      </c>
      <c r="T13" s="16">
        <v>15000000</v>
      </c>
      <c r="U13" s="16">
        <f>SUMPRODUCT(IFERROR((MONTH('👤 Mew'!L58:L228)=10)*(YEAR('👤 Mew'!L58:L228)=2026),0)*'👤 Mew'!I58:I228)+SUMPRODUCT(IFERROR((MONTH('👤 Napat'!L42:L144)=10)*(YEAR('👤 Napat'!L42:L144)=2026),0)*'👤 Napat'!I42:I144)+SUMPRODUCT(IFERROR((MONTH('👤 Tan'!L52:L151)=10)*(YEAR('👤 Tan'!L52:L151)=2026),0)*'👤 Tan'!I52:I151)+SUMPRODUCT(IFERROR((MONTH('👤 Aoey'!L42:L141)=10)*(YEAR('👤 Aoey'!L42:L141)=2026),0)*'👤 Aoey'!I42:I141)+SUMPRODUCT(IFERROR((MONTH('👤 Other Sales'!L42:L141)=10)*(YEAR('👤 Other Sales'!L42:L141)=2026),0)*'👤 Other Sales'!I42:I141)</f>
        <v>0</v>
      </c>
      <c r="V13" s="16">
        <f>SUMPRODUCT(IFERROR((MONTH('👤 Mew'!M58:M228)=10)*(YEAR('👤 Mew'!M58:M228)=2026),0)*'👤 Mew'!I58:I228)+SUMPRODUCT(IFERROR((MONTH('👤 Napat'!M42:M144)=10)*(YEAR('👤 Napat'!M42:M144)=2026),0)*'👤 Napat'!I42:I144)+SUMPRODUCT(IFERROR((MONTH('👤 Tan'!M52:M151)=10)*(YEAR('👤 Tan'!M52:M151)=2026),0)*'👤 Tan'!I52:I151)+SUMPRODUCT(IFERROR((MONTH('👤 Aoey'!M42:M141)=10)*(YEAR('👤 Aoey'!M42:M141)=2026),0)*'👤 Aoey'!I42:I141)+SUMPRODUCT(IFERROR((MONTH('👤 Other Sales'!M42:M141)=10)*(YEAR('👤 Other Sales'!M42:M141)=2026),0)*'👤 Other Sales'!I42:I141)</f>
        <v>0</v>
      </c>
    </row>
    <row r="14" spans="1:22" ht="14.4" customHeight="1">
      <c r="A14" s="8" t="s">
        <v>16</v>
      </c>
      <c r="B14" s="19">
        <f>SUMIF('👤 Aoey'!B42:B141,"&lt;&gt;Delivered",'👤 Aoey'!I42:I141)</f>
        <v>0</v>
      </c>
      <c r="C14" s="19">
        <f>SUM('👤 Aoey'!K42:K141)</f>
        <v>792955</v>
      </c>
      <c r="D14" s="19">
        <f ca="1">SUMPRODUCT(('👤 Aoey'!B42:B141="Deal Signed")*IFERROR((MONTH('👤 Aoey'!L42:L141)=MONTH(TODAY()))*(YEAR('👤 Aoey'!L42:L141)=YEAR(TODAY())),0)*'👤 Aoey'!I42:I141)+SUMPRODUCT(('👤 Aoey'!B42:B141="Delivered")*IFERROR((MONTH('👤 Aoey'!L42:L141)=MONTH(TODAY()))*(YEAR('👤 Aoey'!L42:L141)=YEAR(TODAY())),0)*'👤 Aoey'!I42:I141)</f>
        <v>0</v>
      </c>
      <c r="E14" s="9">
        <f>'⚙ Control Panel'!$A$23</f>
        <v>3000000</v>
      </c>
      <c r="F14" s="37">
        <f t="shared" ca="1" si="0"/>
        <v>0</v>
      </c>
      <c r="G14" s="19">
        <f>COUNTIF('👤 Aoey'!D42:D141,"High")</f>
        <v>8</v>
      </c>
      <c r="H14" s="19">
        <f>COUNTIF('👤 Aoey'!B42:B141,"Negotiating")</f>
        <v>0</v>
      </c>
      <c r="I14" s="19">
        <f>COUNTIF('👤 Aoey'!B42:B141,"Deal Signed")</f>
        <v>0</v>
      </c>
      <c r="J14" s="19">
        <f>COUNTIF('👤 Aoey'!B42:B141,"Delivered")</f>
        <v>8</v>
      </c>
      <c r="S14" s="6" t="s">
        <v>76</v>
      </c>
      <c r="T14" s="17">
        <v>15000000</v>
      </c>
      <c r="U14" s="17">
        <f>SUMPRODUCT(IFERROR((MONTH('👤 Mew'!L58:L228)=11)*(YEAR('👤 Mew'!L58:L228)=2026),0)*'👤 Mew'!I58:I228)+SUMPRODUCT(IFERROR((MONTH('👤 Napat'!L42:L144)=11)*(YEAR('👤 Napat'!L42:L144)=2026),0)*'👤 Napat'!I42:I144)+SUMPRODUCT(IFERROR((MONTH('👤 Tan'!L52:L151)=11)*(YEAR('👤 Tan'!L52:L151)=2026),0)*'👤 Tan'!I52:I151)+SUMPRODUCT(IFERROR((MONTH('👤 Aoey'!L42:L141)=11)*(YEAR('👤 Aoey'!L42:L141)=2026),0)*'👤 Aoey'!I42:I141)+SUMPRODUCT(IFERROR((MONTH('👤 Other Sales'!L42:L141)=11)*(YEAR('👤 Other Sales'!L42:L141)=2026),0)*'👤 Other Sales'!I42:I141)</f>
        <v>0</v>
      </c>
      <c r="V14" s="17">
        <f>SUMPRODUCT(IFERROR((MONTH('👤 Mew'!M58:M228)=11)*(YEAR('👤 Mew'!M58:M228)=2026),0)*'👤 Mew'!I58:I228)+SUMPRODUCT(IFERROR((MONTH('👤 Napat'!M42:M144)=11)*(YEAR('👤 Napat'!M42:M144)=2026),0)*'👤 Napat'!I42:I144)+SUMPRODUCT(IFERROR((MONTH('👤 Tan'!M52:M151)=11)*(YEAR('👤 Tan'!M52:M151)=2026),0)*'👤 Tan'!I52:I151)+SUMPRODUCT(IFERROR((MONTH('👤 Aoey'!M42:M141)=11)*(YEAR('👤 Aoey'!M42:M141)=2026),0)*'👤 Aoey'!I42:I141)+SUMPRODUCT(IFERROR((MONTH('👤 Other Sales'!M42:M141)=11)*(YEAR('👤 Other Sales'!M42:M141)=2026),0)*'👤 Other Sales'!I42:I141)</f>
        <v>0</v>
      </c>
    </row>
    <row r="15" spans="1:22" ht="14.4" customHeight="1">
      <c r="A15" s="8" t="s">
        <v>18</v>
      </c>
      <c r="B15" s="19">
        <f>SUMIF('👤 Other Sales'!B42:B141,"&lt;&gt;Delivered",'👤 Other Sales'!I42:I141)</f>
        <v>0</v>
      </c>
      <c r="C15" s="19">
        <f>SUM('👤 Other Sales'!K42:K141)</f>
        <v>0</v>
      </c>
      <c r="D15" s="19">
        <f ca="1">SUMPRODUCT(('👤 Other Sales'!B42:B141="Deal Signed")*IFERROR((MONTH('👤 Other Sales'!L42:L141)=MONTH(TODAY()))*(YEAR('👤 Other Sales'!L42:L141)=YEAR(TODAY())),0)*'👤 Other Sales'!I42:I141)+SUMPRODUCT(('👤 Other Sales'!B42:B141="Delivered")*IFERROR((MONTH('👤 Other Sales'!L42:L141)=MONTH(TODAY()))*(YEAR('👤 Other Sales'!L42:L141)=YEAR(TODAY())),0)*'👤 Other Sales'!I42:I141)</f>
        <v>0</v>
      </c>
      <c r="E15" s="9">
        <v>0</v>
      </c>
      <c r="F15" s="37">
        <f t="shared" ca="1" si="0"/>
        <v>0</v>
      </c>
      <c r="G15" s="19">
        <f>COUNTIF('👤 Other Sales'!D42:D141,"High")</f>
        <v>0</v>
      </c>
      <c r="H15" s="19">
        <f>COUNTIF('👤 Other Sales'!B42:B141,"Negotiating")</f>
        <v>0</v>
      </c>
      <c r="I15" s="19">
        <f>COUNTIF('👤 Other Sales'!B42:B141,"Deal Signed")</f>
        <v>0</v>
      </c>
      <c r="J15" s="19">
        <f>COUNTIF('👤 Other Sales'!B42:B141,"Delivered")</f>
        <v>0</v>
      </c>
      <c r="S15" s="7" t="s">
        <v>77</v>
      </c>
      <c r="T15" s="16">
        <v>15000000</v>
      </c>
      <c r="U15" s="16">
        <f>SUMPRODUCT(IFERROR((MONTH('👤 Mew'!L58:L228)=12)*(YEAR('👤 Mew'!L58:L228)=2026),0)*'👤 Mew'!I58:I228)+SUMPRODUCT(IFERROR((MONTH('👤 Napat'!L42:L144)=12)*(YEAR('👤 Napat'!L42:L144)=2026),0)*'👤 Napat'!I42:I144)+SUMPRODUCT(IFERROR((MONTH('👤 Tan'!L52:L151)=12)*(YEAR('👤 Tan'!L52:L151)=2026),0)*'👤 Tan'!I52:I151)+SUMPRODUCT(IFERROR((MONTH('👤 Aoey'!L42:L141)=12)*(YEAR('👤 Aoey'!L42:L141)=2026),0)*'👤 Aoey'!I42:I141)+SUMPRODUCT(IFERROR((MONTH('👤 Other Sales'!L42:L141)=12)*(YEAR('👤 Other Sales'!L42:L141)=2026),0)*'👤 Other Sales'!I42:I141)</f>
        <v>0</v>
      </c>
      <c r="V15" s="16">
        <f>SUMPRODUCT(IFERROR((MONTH('👤 Mew'!M58:M228)=12)*(YEAR('👤 Mew'!M58:M228)=2026),0)*'👤 Mew'!I58:I228)+SUMPRODUCT(IFERROR((MONTH('👤 Napat'!M42:M144)=12)*(YEAR('👤 Napat'!M42:M144)=2026),0)*'👤 Napat'!I42:I144)+SUMPRODUCT(IFERROR((MONTH('👤 Tan'!M52:M151)=12)*(YEAR('👤 Tan'!M52:M151)=2026),0)*'👤 Tan'!I52:I151)+SUMPRODUCT(IFERROR((MONTH('👤 Aoey'!M42:M141)=12)*(YEAR('👤 Aoey'!M42:M141)=2026),0)*'👤 Aoey'!I42:I141)+SUMPRODUCT(IFERROR((MONTH('👤 Other Sales'!M42:M141)=12)*(YEAR('👤 Other Sales'!M42:M141)=2026),0)*'👤 Other Sales'!I42:I141)</f>
        <v>0</v>
      </c>
    </row>
    <row r="16" spans="1:22" ht="14.4" customHeight="1">
      <c r="A16" s="10" t="s">
        <v>78</v>
      </c>
      <c r="B16" s="11">
        <f>SUM(B11:B15)</f>
        <v>74811375</v>
      </c>
      <c r="C16" s="11">
        <f>SUM(C11:C15)</f>
        <v>95155473.599999994</v>
      </c>
      <c r="D16" s="11">
        <f ca="1">SUM(D11:D15)</f>
        <v>0</v>
      </c>
      <c r="E16" s="11">
        <f>SUM(E11:E15)</f>
        <v>12000000</v>
      </c>
      <c r="F16" s="38">
        <f t="shared" ca="1" si="0"/>
        <v>0</v>
      </c>
      <c r="G16" s="11">
        <f>SUM(G11:G15)</f>
        <v>56</v>
      </c>
      <c r="H16" s="11">
        <f>SUM(H11:H15)</f>
        <v>3</v>
      </c>
      <c r="I16" s="11">
        <f>SUM(I11:I15)</f>
        <v>23</v>
      </c>
      <c r="J16" s="11">
        <f>SUM(J11:J15)</f>
        <v>114</v>
      </c>
    </row>
    <row r="17" spans="1:16" ht="14.4" customHeight="1">
      <c r="A17" s="57" t="s">
        <v>79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</row>
    <row r="21" spans="1:16" ht="15.75" customHeight="1"/>
    <row r="22" spans="1:16" ht="15.75" customHeight="1"/>
    <row r="23" spans="1:16" ht="15.75" customHeight="1"/>
    <row r="24" spans="1:16" ht="15.75" customHeight="1"/>
    <row r="25" spans="1:16" ht="15.75" customHeight="1"/>
    <row r="26" spans="1:16" ht="15.75" customHeight="1"/>
    <row r="27" spans="1:16" ht="15.75" customHeight="1"/>
    <row r="28" spans="1:16" ht="15.75" customHeight="1"/>
    <row r="29" spans="1:16" ht="15.75" customHeight="1"/>
    <row r="30" spans="1:16" ht="15.75" customHeight="1"/>
    <row r="31" spans="1:16" ht="15.75" customHeight="1"/>
    <row r="32" spans="1:16" ht="15.75" customHeight="1"/>
    <row r="33" spans="1:16" ht="15.75" customHeight="1"/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>
      <c r="A41" s="57" t="s">
        <v>80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</row>
    <row r="42" spans="1:16" ht="15.75" customHeight="1">
      <c r="A42" s="5" t="s">
        <v>2</v>
      </c>
      <c r="B42" s="5" t="s">
        <v>5</v>
      </c>
      <c r="C42" s="5" t="s">
        <v>9</v>
      </c>
      <c r="D42" s="5" t="s">
        <v>13</v>
      </c>
      <c r="E42" s="5" t="s">
        <v>16</v>
      </c>
      <c r="F42" s="5" t="s">
        <v>18</v>
      </c>
      <c r="G42" s="5" t="s">
        <v>81</v>
      </c>
      <c r="H42" s="5" t="s">
        <v>82</v>
      </c>
      <c r="I42" s="5" t="s">
        <v>83</v>
      </c>
    </row>
    <row r="43" spans="1:16" ht="15.75" customHeight="1">
      <c r="A43" s="13" t="s">
        <v>6</v>
      </c>
      <c r="B43" s="19">
        <f>COUNTIF('👤 Mew'!B42:B228,"Interest")</f>
        <v>5</v>
      </c>
      <c r="C43" s="19">
        <f>COUNTIF('👤 Napat'!B42:B144,"Interest")</f>
        <v>2</v>
      </c>
      <c r="D43" s="19">
        <f>COUNTIF('👤 Tan'!B52:B151,"Interest")</f>
        <v>2</v>
      </c>
      <c r="E43" s="19">
        <f>COUNTIF('👤 Aoey'!B42:B141,"Interest")</f>
        <v>0</v>
      </c>
      <c r="F43" s="19">
        <f>COUNTIF('👤 Other Sales'!B42:B141,"Interest")</f>
        <v>0</v>
      </c>
      <c r="G43" s="12">
        <f t="shared" ref="G43:G48" si="1">SUM(B43:F43)</f>
        <v>9</v>
      </c>
      <c r="H43" s="12">
        <f>SUMIF('👤 Mew'!B42:B228,"Interest",'👤 Mew'!I42:I228)+SUMIF('👤 Napat'!B42:B144,"Interest",'👤 Napat'!I42:I144)+SUMIF('👤 Tan'!B52:B151,"Interest",'👤 Tan'!I52:I151)+SUMIF('👤 Aoey'!B42:B141,"Interest",'👤 Aoey'!I42:I141)+SUMIF('👤 Other Sales'!B42:B141,"Interest",'👤 Other Sales'!I42:I141)</f>
        <v>25252937</v>
      </c>
      <c r="I43" s="39">
        <f>IFERROR((SUMIF('👤 Mew'!B42:B228,"Interest",'👤 Mew'!I42:I228)+SUMIF('👤 Napat'!B42:B144,"Interest",'👤 Napat'!I42:I144)+SUMIF('👤 Tan'!B52:B151,"Interest",'👤 Tan'!I52:I151)+SUMIF('👤 Aoey'!B42:B141,"Interest",'👤 Aoey'!I42:I141)+SUMIF('👤 Other Sales'!B42:B141,"Interest",'👤 Other Sales'!I42:I141))/(SUM('👤 Mew'!I42:I228)+SUM('👤 Napat'!I42:I144)+SUM('👤 Tan'!I52:I151)+SUM('👤 Aoey'!I42:I141)+SUM('👤 Other Sales'!I42:I141)),0)</f>
        <v>0.24561177573924803</v>
      </c>
    </row>
    <row r="44" spans="1:16" ht="15.75" customHeight="1">
      <c r="A44" s="13" t="s">
        <v>10</v>
      </c>
      <c r="B44" s="19">
        <f>COUNTIF('👤 Mew'!B42:B228,"Send PI")</f>
        <v>0</v>
      </c>
      <c r="C44" s="19">
        <f>COUNTIF('👤 Napat'!B42:B144,"Send PI")</f>
        <v>0</v>
      </c>
      <c r="D44" s="19">
        <f>COUNTIF('👤 Tan'!B52:B151,"Send PI")</f>
        <v>3</v>
      </c>
      <c r="E44" s="19">
        <f>COUNTIF('👤 Aoey'!B42:B141,"Send PI")</f>
        <v>0</v>
      </c>
      <c r="F44" s="19">
        <f>COUNTIF('👤 Other Sales'!B42:B141,"Send PI")</f>
        <v>0</v>
      </c>
      <c r="G44" s="12">
        <f t="shared" si="1"/>
        <v>3</v>
      </c>
      <c r="H44" s="12">
        <f>SUMIF('👤 Mew'!B42:B228,"Send PI",'👤 Mew'!I42:I228)+SUMIF('👤 Napat'!B42:B144,"Send PI",'👤 Napat'!I42:I144)+SUMIF('👤 Tan'!B52:B151,"Send PI",'👤 Tan'!I52:I151)+SUMIF('👤 Aoey'!B42:B141,"Send PI",'👤 Aoey'!I42:I141)+SUMIF('👤 Other Sales'!B42:B141,"Send PI",'👤 Other Sales'!I42:I141)</f>
        <v>2332018</v>
      </c>
      <c r="I44" s="39">
        <f>IFERROR((SUMIF('👤 Mew'!B42:B228,"Send PI",'👤 Mew'!I42:I228)+SUMIF('👤 Napat'!B42:B144,"Send PI",'👤 Napat'!I42:I144)+SUMIF('👤 Tan'!B52:B151,"Send PI",'👤 Tan'!I52:I151)+SUMIF('👤 Aoey'!B42:B141,"Send PI",'👤 Aoey'!I42:I141)+SUMIF('👤 Other Sales'!B42:B141,"Send PI",'👤 Other Sales'!I42:I141))/(SUM('👤 Mew'!I42:I228)+SUM('👤 Napat'!I42:I144)+SUM('👤 Tan'!I52:I151)+SUM('👤 Aoey'!I42:I141)+SUM('👤 Other Sales'!I42:I141)),0)</f>
        <v>2.2681365024428236E-2</v>
      </c>
    </row>
    <row r="45" spans="1:16" ht="15.75" customHeight="1">
      <c r="A45" s="13" t="s">
        <v>14</v>
      </c>
      <c r="B45" s="19">
        <f>COUNTIF('👤 Mew'!B42:B228,"Negotiating")</f>
        <v>0</v>
      </c>
      <c r="C45" s="19">
        <f>COUNTIF('👤 Napat'!B42:B144,"Negotiating")</f>
        <v>0</v>
      </c>
      <c r="D45" s="19">
        <f>COUNTIF('👤 Tan'!B52:B151,"Negotiating")</f>
        <v>3</v>
      </c>
      <c r="E45" s="19">
        <f>COUNTIF('👤 Aoey'!B42:B141,"Negotiating")</f>
        <v>0</v>
      </c>
      <c r="F45" s="19">
        <f>COUNTIF('👤 Other Sales'!B42:B141,"Negotiating")</f>
        <v>0</v>
      </c>
      <c r="G45" s="12">
        <f t="shared" si="1"/>
        <v>3</v>
      </c>
      <c r="H45" s="12">
        <f>SUMIF('👤 Mew'!B42:B228,"Negotiating",'👤 Mew'!I42:I228)+SUMIF('👤 Napat'!B42:B144,"Negotiating",'👤 Napat'!I42:I144)+SUMIF('👤 Tan'!B52:B151,"Negotiating",'👤 Tan'!I52:I151)+SUMIF('👤 Aoey'!B42:B141,"Negotiating",'👤 Aoey'!I42:I141)+SUMIF('👤 Other Sales'!B42:B141,"Negotiating",'👤 Other Sales'!I42:I141)</f>
        <v>3082224</v>
      </c>
      <c r="I45" s="39">
        <f>IFERROR((SUMIF('👤 Mew'!B42:B228,"Negotiating",'👤 Mew'!I42:I228)+SUMIF('👤 Napat'!B42:B144,"Negotiating",'👤 Napat'!I42:I144)+SUMIF('👤 Tan'!B52:B151,"Negotiating",'👤 Tan'!I52:I151)+SUMIF('👤 Aoey'!B42:B141,"Negotiating",'👤 Aoey'!I42:I141)+SUMIF('👤 Other Sales'!B42:B141,"Negotiating",'👤 Other Sales'!I42:I141))/(SUM('👤 Mew'!I42:I228)+SUM('👤 Napat'!I42:I144)+SUM('👤 Tan'!I52:I151)+SUM('👤 Aoey'!I42:I141)+SUM('👤 Other Sales'!I42:I141)),0)</f>
        <v>2.9977919394727354E-2</v>
      </c>
    </row>
    <row r="46" spans="1:16" ht="15.75" customHeight="1">
      <c r="A46" s="13" t="s">
        <v>17</v>
      </c>
      <c r="B46" s="19">
        <f>COUNTIF('👤 Mew'!B42:B228,"Deal Signed")</f>
        <v>16</v>
      </c>
      <c r="C46" s="19">
        <f>COUNTIF('👤 Napat'!B42:B144,"Deal Signed")</f>
        <v>0</v>
      </c>
      <c r="D46" s="19">
        <f>COUNTIF('👤 Tan'!B52:B151,"Deal Signed")</f>
        <v>7</v>
      </c>
      <c r="E46" s="19">
        <f>COUNTIF('👤 Aoey'!B42:B141,"Deal Signed")</f>
        <v>0</v>
      </c>
      <c r="F46" s="19">
        <f>COUNTIF('👤 Other Sales'!B42:B141,"Deal Signed")</f>
        <v>0</v>
      </c>
      <c r="G46" s="12">
        <f t="shared" si="1"/>
        <v>23</v>
      </c>
      <c r="H46" s="12">
        <f>SUMIF('👤 Mew'!B42:B228,"Deal Signed",'👤 Mew'!I42:I228)+SUMIF('👤 Napat'!B42:B144,"Deal Signed",'👤 Napat'!I42:I144)+SUMIF('👤 Tan'!B52:B151,"Deal Signed",'👤 Tan'!I52:I151)+SUMIF('👤 Aoey'!B42:B141,"Deal Signed",'👤 Aoey'!I42:I141)+SUMIF('👤 Other Sales'!B42:B141,"Deal Signed",'👤 Other Sales'!I42:I141)</f>
        <v>44118019</v>
      </c>
      <c r="I46" s="39">
        <f>IFERROR((SUMIF('👤 Mew'!B42:B228,"Deal Signed",'👤 Mew'!I42:I228)+SUMIF('👤 Napat'!B42:B144,"Deal Signed",'👤 Napat'!I42:I144)+SUMIF('👤 Tan'!B52:B151,"Deal Signed",'👤 Tan'!I52:I151)+SUMIF('👤 Aoey'!B42:B141,"Deal Signed",'👤 Aoey'!I42:I141)+SUMIF('👤 Other Sales'!B42:B141,"Deal Signed",'👤 Other Sales'!I42:I141))/(SUM('👤 Mew'!I42:I228)+SUM('👤 Napat'!I42:I144)+SUM('👤 Tan'!I52:I151)+SUM('👤 Aoey'!I42:I141)+SUM('👤 Other Sales'!I42:I141)),0)</f>
        <v>0.42909484107483747</v>
      </c>
    </row>
    <row r="47" spans="1:16" ht="15.75" customHeight="1">
      <c r="A47" s="13" t="s">
        <v>19</v>
      </c>
      <c r="B47" s="19">
        <f>COUNTIF('👤 Mew'!B42:B228,"Delivered")</f>
        <v>99</v>
      </c>
      <c r="C47" s="19">
        <f>COUNTIF('👤 Napat'!B42:B144,"Delivered")</f>
        <v>7</v>
      </c>
      <c r="D47" s="19">
        <f>COUNTIF('👤 Tan'!B52:B151,"Delivered")</f>
        <v>0</v>
      </c>
      <c r="E47" s="19">
        <f>COUNTIF('👤 Aoey'!B42:B141,"Delivered")</f>
        <v>8</v>
      </c>
      <c r="F47" s="19">
        <f>COUNTIF('👤 Other Sales'!B42:B141,"Delivered")</f>
        <v>0</v>
      </c>
      <c r="G47" s="12">
        <f t="shared" si="1"/>
        <v>114</v>
      </c>
      <c r="H47" s="12">
        <f>SUMIF('👤 Mew'!B42:B228,"Delivered",'👤 Mew'!I42:I228)+SUMIF('👤 Napat'!B42:B144,"Delivered",'👤 Napat'!I42:I144)+SUMIF('👤 Tan'!B52:B151,"Delivered",'👤 Tan'!I52:I151)+SUMIF('👤 Aoey'!B42:B141,"Delivered",'👤 Aoey'!I42:I141)+SUMIF('👤 Other Sales'!B42:B141,"Delivered",'👤 Other Sales'!I42:I141)</f>
        <v>28005100</v>
      </c>
      <c r="I47" s="39">
        <f>IFERROR((SUMIF('👤 Mew'!B42:B228,"Delivered",'👤 Mew'!I42:I228)+SUMIF('👤 Napat'!B42:B144,"Delivered",'👤 Napat'!I42:I144)+SUMIF('👤 Tan'!B52:B151,"Delivered",'👤 Tan'!I52:I151)+SUMIF('👤 Aoey'!B42:B141,"Delivered",'👤 Aoey'!I42:I141)+SUMIF('👤 Other Sales'!B42:B141,"Delivered",'👤 Other Sales'!I42:I141))/(SUM('👤 Mew'!I42:I228)+SUM('👤 Napat'!I42:I144)+SUM('👤 Tan'!I52:I151)+SUM('👤 Aoey'!I42:I141)+SUM('👤 Other Sales'!I42:I141)),0)</f>
        <v>0.27237949949169138</v>
      </c>
    </row>
    <row r="48" spans="1:16" ht="15.75" customHeight="1">
      <c r="A48" s="13" t="s">
        <v>20</v>
      </c>
      <c r="B48" s="19">
        <f>COUNTIF('👤 Mew'!B42:B228,"Lost")</f>
        <v>0</v>
      </c>
      <c r="C48" s="19">
        <f>COUNTIF('👤 Napat'!B42:B144,"Lost")</f>
        <v>1</v>
      </c>
      <c r="D48" s="19">
        <f>COUNTIF('👤 Tan'!B52:B151,"Lost")</f>
        <v>0</v>
      </c>
      <c r="E48" s="19">
        <f>COUNTIF('👤 Aoey'!B42:B141,"Lost")</f>
        <v>0</v>
      </c>
      <c r="F48" s="19">
        <f>COUNTIF('👤 Other Sales'!B42:B141,"Lost")</f>
        <v>0</v>
      </c>
      <c r="G48" s="12">
        <f t="shared" si="1"/>
        <v>1</v>
      </c>
    </row>
    <row r="49" spans="1:16" ht="15.75" customHeight="1"/>
    <row r="50" spans="1:16" ht="15.75" customHeight="1">
      <c r="A50" s="57" t="s">
        <v>84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</row>
    <row r="51" spans="1:16" ht="15.75" customHeight="1">
      <c r="A51" s="14" t="s">
        <v>85</v>
      </c>
      <c r="B51" s="14" t="s">
        <v>86</v>
      </c>
      <c r="C51" s="14" t="s">
        <v>87</v>
      </c>
      <c r="D51" s="14" t="s">
        <v>88</v>
      </c>
    </row>
    <row r="52" spans="1:16" ht="15.75" customHeight="1">
      <c r="A52" s="15" t="s">
        <v>25</v>
      </c>
      <c r="B52" s="19">
        <f>COUNTIF('👤 Mew'!E42:E228,"Steel")+COUNTIF('👤 Napat'!E42:E144,"Steel")+COUNTIF('👤 Tan'!E52:E151,"Steel")+COUNTIF('👤 Aoey'!E42:E141,"Steel")+COUNTIF('👤 Other Sales'!E42:E141,"Steel")</f>
        <v>42</v>
      </c>
      <c r="C52" s="19">
        <f>SUMIF('👤 Mew'!E42:E228,"Steel",'👤 Mew'!I42:I228)+SUMIF('👤 Napat'!E42:E144,"Steel",'👤 Napat'!I42:I144)+SUMIF('👤 Tan'!E52:E151,"Steel",'👤 Tan'!I52:I151)+SUMIF('👤 Aoey'!E42:E141,"Steel",'👤 Aoey'!I42:I141)+SUMIF('👤 Other Sales'!E42:E141,"Steel",'👤 Other Sales'!I42:I141)</f>
        <v>22055506</v>
      </c>
      <c r="D52" s="37">
        <f>IFERROR((SUMIF('👤 Mew'!E42:E228,"Steel",'👤 Mew'!I42:I228)+SUMIF('👤 Napat'!E42:E144,"Steel",'👤 Napat'!I42:I144)+SUMIF('👤 Tan'!E52:E151,"Steel",'👤 Tan'!I52:I151)+SUMIF('👤 Aoey'!E42:E141,"Steel",'👤 Aoey'!I42:I141)+SUMIF('👤 Other Sales'!E42:E141,"Steel",'👤 Other Sales'!I42:I141))/(SUM('👤 Mew'!I42:I228)+SUM('👤 Napat'!I42:I144)+SUM('👤 Tan'!I52:I151)+SUM('👤 Aoey'!I42:I141)+SUM('👤 Other Sales'!I42:I141)),0)</f>
        <v>0.21451334525911339</v>
      </c>
    </row>
    <row r="53" spans="1:16" ht="15.75" customHeight="1">
      <c r="A53" s="15" t="s">
        <v>29</v>
      </c>
      <c r="B53" s="19">
        <f>COUNTIF('👤 Mew'!E42:E228,"Chair")+COUNTIF('👤 Napat'!E42:E144,"Chair")+COUNTIF('👤 Tan'!E52:E151,"Chair")+COUNTIF('👤 Aoey'!E42:E141,"Chair")+COUNTIF('👤 Other Sales'!E42:E141,"Chair")</f>
        <v>37</v>
      </c>
      <c r="C53" s="19">
        <f>SUMIF('👤 Mew'!E42:E228,"Chair",'👤 Mew'!I42:I228)+SUMIF('👤 Napat'!E42:E144,"Chair",'👤 Napat'!I42:I144)+SUMIF('👤 Tan'!E52:E151,"Chair",'👤 Tan'!I52:I151)+SUMIF('👤 Aoey'!E42:E141,"Chair",'👤 Aoey'!I42:I141)+SUMIF('👤 Other Sales'!E42:E141,"Chair",'👤 Other Sales'!I42:I141)</f>
        <v>9306072</v>
      </c>
      <c r="D53" s="37">
        <f>IFERROR((SUMIF('👤 Mew'!E42:E228,"Chair",'👤 Mew'!I42:I228)+SUMIF('👤 Napat'!E42:E144,"Chair",'👤 Napat'!I42:I144)+SUMIF('👤 Tan'!E52:E151,"Chair",'👤 Tan'!I52:I151)+SUMIF('👤 Aoey'!E42:E141,"Chair",'👤 Aoey'!I42:I141)+SUMIF('👤 Other Sales'!E42:E141,"Chair",'👤 Other Sales'!I42:I141))/(SUM('👤 Mew'!I42:I228)+SUM('👤 Napat'!I42:I144)+SUM('👤 Tan'!I52:I151)+SUM('👤 Aoey'!I42:I141)+SUM('👤 Other Sales'!I42:I141)),0)</f>
        <v>9.0511486607569455E-2</v>
      </c>
    </row>
    <row r="54" spans="1:16" ht="15.75" customHeight="1">
      <c r="A54" s="15" t="s">
        <v>33</v>
      </c>
      <c r="B54" s="19">
        <f>COUNTIF('👤 Mew'!E42:E228,"Wooden")+COUNTIF('👤 Napat'!E42:E144,"Wooden")+COUNTIF('👤 Tan'!E52:E151,"Wooden")+COUNTIF('👤 Aoey'!E42:E141,"Wooden")+COUNTIF('👤 Other Sales'!E42:E141,"Wooden")</f>
        <v>71</v>
      </c>
      <c r="C54" s="19">
        <f>SUMIF('👤 Mew'!E42:E228,"Wooden",'👤 Mew'!I42:I228)+SUMIF('👤 Napat'!E42:E144,"Wooden",'👤 Napat'!I42:I144)+SUMIF('👤 Tan'!E52:E151,"Wooden",'👤 Tan'!I52:I151)+SUMIF('👤 Aoey'!E42:E141,"Wooden",'👤 Aoey'!I42:I141)+SUMIF('👤 Other Sales'!E42:E141,"Wooden",'👤 Other Sales'!I42:I141)</f>
        <v>71426593</v>
      </c>
      <c r="D54" s="37">
        <f>IFERROR((SUMIF('👤 Mew'!E42:E228,"Wooden",'👤 Mew'!I42:I228)+SUMIF('👤 Napat'!E42:E144,"Wooden",'👤 Napat'!I42:I144)+SUMIF('👤 Tan'!E52:E151,"Wooden",'👤 Tan'!I52:I151)+SUMIF('👤 Aoey'!E42:E141,"Wooden",'👤 Aoey'!I42:I141)+SUMIF('👤 Other Sales'!E42:E141,"Wooden",'👤 Other Sales'!I42:I141))/(SUM('👤 Mew'!I42:I228)+SUM('👤 Napat'!I42:I144)+SUM('👤 Tan'!I52:I151)+SUM('👤 Aoey'!I42:I141)+SUM('👤 Other Sales'!I42:I141)),0)</f>
        <v>0.69469988151217987</v>
      </c>
    </row>
    <row r="55" spans="1:16" ht="15.75" customHeight="1"/>
    <row r="56" spans="1:16" ht="15.75" customHeight="1"/>
    <row r="57" spans="1:16" ht="15.75" customHeight="1">
      <c r="A57" s="57" t="s">
        <v>89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</row>
    <row r="58" spans="1:16" ht="15.75" customHeight="1">
      <c r="A58" s="14" t="s">
        <v>22</v>
      </c>
      <c r="B58" s="14" t="s">
        <v>86</v>
      </c>
      <c r="C58" s="14" t="s">
        <v>87</v>
      </c>
      <c r="D58" s="14" t="s">
        <v>88</v>
      </c>
    </row>
    <row r="59" spans="1:16" ht="15.75" customHeight="1">
      <c r="A59" s="15" t="s">
        <v>26</v>
      </c>
      <c r="B59" s="19">
        <f>COUNTIF('👤 Mew'!F42:F228,"Sunon")+COUNTIF('👤 Napat'!F42:F144,"Sunon")+COUNTIF('👤 Tan'!F52:F151,"Sunon")+COUNTIF('👤 Aoey'!F42:F141,"Sunon")+COUNTIF('👤 Other Sales'!F42:F141,"Sunon")</f>
        <v>7</v>
      </c>
      <c r="C59" s="19">
        <f>SUMIF('👤 Mew'!F42:F228,"Sunon",'👤 Mew'!I42:I228)+SUMIF('👤 Napat'!F42:F144,"Sunon",'👤 Napat'!I42:I144)+SUMIF('👤 Tan'!F52:F151,"Sunon",'👤 Tan'!I52:I151)+SUMIF('👤 Aoey'!F42:F141,"Sunon",'👤 Aoey'!I42:I141)+SUMIF('👤 Other Sales'!F42:F141,"Sunon",'👤 Other Sales'!I42:I141)</f>
        <v>15843033</v>
      </c>
      <c r="D59" s="37">
        <f>IFERROR((SUMIF('👤 Mew'!F42:F228,"Sunon",'👤 Mew'!I42:I228)+SUMIF('👤 Napat'!F42:F144,"Sunon",'👤 Napat'!I42:I144)+SUMIF('👤 Tan'!F52:F151,"Sunon",'👤 Tan'!I52:I151)+SUMIF('👤 Aoey'!F42:F141,"Sunon",'👤 Aoey'!I42:I141)+SUMIF('👤 Other Sales'!F42:F141,"Sunon",'👤 Other Sales'!I42:I141))/(SUM('👤 Mew'!I42:I228)+SUM('👤 Napat'!I42:I144)+SUM('👤 Tan'!I52:I151)+SUM('👤 Aoey'!I42:I141)+SUM('👤 Other Sales'!I42:I141)),0)</f>
        <v>0.1540904120667432</v>
      </c>
    </row>
    <row r="60" spans="1:16" ht="15.75" customHeight="1">
      <c r="A60" s="15" t="s">
        <v>30</v>
      </c>
      <c r="B60" s="19">
        <f>COUNTIF('👤 Mew'!F42:F228,"Taiyo")+COUNTIF('👤 Napat'!F42:F144,"Taiyo")+COUNTIF('👤 Tan'!F52:F151,"Taiyo")+COUNTIF('👤 Aoey'!F42:F141,"Taiyo")+COUNTIF('👤 Other Sales'!F42:F141,"Taiyo")</f>
        <v>126</v>
      </c>
      <c r="C60" s="19">
        <f>SUMIF('👤 Mew'!F42:F228,"Taiyo",'👤 Mew'!I42:I228)+SUMIF('👤 Napat'!F42:F144,"Taiyo",'👤 Napat'!I42:I144)+SUMIF('👤 Tan'!F52:F151,"Taiyo",'👤 Tan'!I52:I151)+SUMIF('👤 Aoey'!F42:F141,"Taiyo",'👤 Aoey'!I42:I141)+SUMIF('👤 Other Sales'!F42:F141,"Taiyo",'👤 Other Sales'!I42:I141)</f>
        <v>83331000</v>
      </c>
      <c r="D60" s="37">
        <f>IFERROR((SUMIF('👤 Mew'!F42:F228,"Taiyo",'👤 Mew'!I42:I228)+SUMIF('👤 Napat'!F42:F144,"Taiyo",'👤 Napat'!I42:I144)+SUMIF('👤 Tan'!F52:F151,"Taiyo",'👤 Tan'!I52:I151)+SUMIF('👤 Aoey'!F42:F141,"Taiyo",'👤 Aoey'!I42:I141)+SUMIF('👤 Other Sales'!F42:F141,"Taiyo",'👤 Other Sales'!I42:I141))/(SUM('👤 Mew'!I42:Y228)+SUM('👤 Napat'!I42:I144)+SUM('👤 Tan'!I52:I151)+SUM('👤 Aoey'!I42:I141)+SUM('👤 Other Sales'!I42:I141)),0)</f>
        <v>0.55922852633309539</v>
      </c>
    </row>
    <row r="61" spans="1:16" ht="15.75" customHeight="1">
      <c r="A61" s="15" t="s">
        <v>34</v>
      </c>
      <c r="B61" s="19">
        <f>COUNTIF('👤 Mew'!F42:F228,"Motech")+COUNTIF('👤 Napat'!F42:F144,"Motech")+COUNTIF('👤 Tan'!F52:F151,"Motech")+COUNTIF('👤 Aoey'!F42:F141,"Motech")+COUNTIF('👤 Other Sales'!F42:F141,"Motech")</f>
        <v>17</v>
      </c>
      <c r="C61" s="19">
        <f>SUMIF('👤 Mew'!F42:F228,"Motech",'👤 Mew'!I42:I228)+SUMIF('👤 Napat'!F42:F144,"Motech",'👤 Napat'!I42:I144)+SUMIF('👤 Tan'!F52:F151,"Motech",'👤 Tan'!I52:I151)+SUMIF('👤 Aoey'!F42:F141,"Motech",'👤 Aoey'!I42:I141)+SUMIF('👤 Other Sales'!F42:F141,"Motech",'👤 Other Sales'!I42:I141)</f>
        <v>3411546</v>
      </c>
      <c r="D61" s="37">
        <f>IFERROR((SUMIF('👤 Mew'!F42:F228,"Motech",'👤 Mew'!I42:I228)+SUMIF('👤 Napat'!F42:F144,"Motech",'👤 Napat'!I42:I144)+SUMIF('👤 Tan'!F52:F151,"Motech",'👤 Tan'!I52:I151)+SUMIF('👤 Aoey'!F42:F141,"Motech",'👤 Aoey'!I42:I141)+SUMIF('👤 Other Sales'!F42:F141,"Motech",'👤 Other Sales'!I42:I141))/(SUM('👤 Mew'!I42:I228)+SUM('👤 Napat'!I42:I144)+SUM('👤 Tan'!I52:I151)+SUM('👤 Aoey'!I42:I141)+SUM('👤 Other Sales'!I42:I141)),0)</f>
        <v>3.3180927472956062E-2</v>
      </c>
    </row>
    <row r="62" spans="1:16" ht="15.75" customHeight="1">
      <c r="A62" s="15" t="s">
        <v>37</v>
      </c>
      <c r="B62" s="19">
        <f>COUNTIF('👤 Mew'!F42:F228,"Hybrida")+COUNTIF('👤 Napat'!F42:F144,"Hybrida")+COUNTIF('👤 Tan'!F52:F151,"Hybrida")+COUNTIF('👤 Aoey'!F42:F141,"Hybrida")+COUNTIF('👤 Other Sales'!F42:F141,"Hybrida")</f>
        <v>1</v>
      </c>
      <c r="C62" s="19">
        <f>SUMIF('👤 Mew'!F42:F228,"Hybrida",'👤 Mew'!I42:I228)+SUMIF('👤 Napat'!F42:F144,"Hybrida",'👤 Napat'!I42:I144)+SUMIF('👤 Tan'!F52:F151,"Hybrida",'👤 Tan'!I52:I151)+SUMIF('👤 Aoey'!F42:F141,"Hybrida",'👤 Aoey'!I42:I141)+SUMIF('👤 Other Sales'!F42:F141,"Hybrida",'👤 Other Sales'!I42:I141)</f>
        <v>210000</v>
      </c>
      <c r="D62" s="37">
        <f>IFERROR((SUMIF('👤 Mew'!F42:F228,"Hybrida",'👤 Mew'!I42:I228)+SUMIF('👤 Napat'!F42:F144,"Hybrida",'👤 Napat'!I42:I144)+SUMIF('👤 Tan'!F52:F151,"Hybrida",'👤 Tan'!I52:I151)+SUMIF('👤 Aoey'!F42:F141,"Hybrida",'👤 Aoey'!I42:I141)+SUMIF('👤 Other Sales'!F42:F141,"Hybrida",'👤 Other Sales'!I42:I141))/(SUM('👤 Mew'!I42:I228)+SUM('👤 Napat'!I42:I144)+SUM('👤 Tan'!I52:I151)+SUM('👤 Aoey'!I42:I141)+SUM('👤 Other Sales'!I42:I141)),0)</f>
        <v>2.0424742240968677E-3</v>
      </c>
    </row>
    <row r="63" spans="1:16" ht="15.75" customHeight="1">
      <c r="A63" s="15" t="s">
        <v>39</v>
      </c>
      <c r="B63" s="19">
        <f>COUNTIF('👤 Mew'!F42:F228,"Other")+COUNTIF('👤 Napat'!F42:F144,"Other")+COUNTIF('👤 Tan'!F52:F151,"Other")+COUNTIF('👤 Aoey'!F42:F141,"Other")+COUNTIF('👤 Other Sales'!F42:F141,"Other")</f>
        <v>2</v>
      </c>
      <c r="C63" s="19">
        <f>SUMIF('👤 Mew'!F42:F228,"Other",'👤 Mew'!I42:I228)+SUMIF('👤 Napat'!F42:F144,"Other",'👤 Napat'!I42:I144)+SUMIF('👤 Tan'!F52:F151,"Other",'👤 Tan'!I52:I151)+SUMIF('👤 Aoey'!F42:F141,"Other",'👤 Aoey'!I42:I141)+SUMIF('👤 Other Sales'!F42:F141,"Other",'👤 Other Sales'!I42:I141)</f>
        <v>20896</v>
      </c>
      <c r="D63" s="37">
        <f>IFERROR((SUMIF('👤 Mew'!F42:F228,"Other",'👤 Mew'!I42:I228)+SUMIF('👤 Napat'!F42:F144,"Other",'👤 Napat'!I42:I144)+SUMIF('👤 Tan'!F52:F151,"Other",'👤 Tan'!I52:I151)+SUMIF('👤 Aoey'!F42:F141,"Other",'👤 Aoey'!I42:I141)+SUMIF('👤 Other Sales'!F42:F141,"Other",'👤 Other Sales'!I42:I141))/(SUM('👤 Mew'!I42:I228)+SUM('👤 Napat'!I42:I144)+SUM('👤 Tan'!I52:I151)+SUM('👤 Aoey'!I42:I141)+SUM('👤 Other Sales'!I42:I141)),0)</f>
        <v>2.0323591136537213E-4</v>
      </c>
    </row>
    <row r="64" spans="1:1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50:P50"/>
    <mergeCell ref="A5:D7"/>
    <mergeCell ref="E5:H7"/>
    <mergeCell ref="A57:P57"/>
    <mergeCell ref="A41:P41"/>
    <mergeCell ref="I5:L7"/>
    <mergeCell ref="M4:P4"/>
    <mergeCell ref="M5:P7"/>
    <mergeCell ref="A17:P17"/>
    <mergeCell ref="A1:P2"/>
    <mergeCell ref="E4:H4"/>
    <mergeCell ref="A9:P9"/>
    <mergeCell ref="I4:L4"/>
    <mergeCell ref="A4:D4"/>
  </mergeCells>
  <pageMargins left="0.75" right="0.75" top="1" bottom="1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E7D9A"/>
  </sheetPr>
  <dimension ref="A1:Y1087"/>
  <sheetViews>
    <sheetView zoomScaleNormal="100" workbookViewId="0">
      <pane ySplit="13" topLeftCell="A84" activePane="bottomLeft" state="frozen"/>
      <selection pane="bottomLeft" activeCell="O43" sqref="O43"/>
    </sheetView>
  </sheetViews>
  <sheetFormatPr defaultColWidth="14.44140625" defaultRowHeight="15" customHeight="1"/>
  <cols>
    <col min="1" max="1" width="29.109375" style="32" bestFit="1" customWidth="1"/>
    <col min="2" max="2" width="10.88671875" style="32" bestFit="1" customWidth="1"/>
    <col min="3" max="3" width="10.21875" style="32" bestFit="1" customWidth="1"/>
    <col min="4" max="4" width="11.109375" style="32" bestFit="1" customWidth="1"/>
    <col min="5" max="5" width="9" style="32" bestFit="1" customWidth="1"/>
    <col min="6" max="6" width="7.33203125" style="32" bestFit="1" customWidth="1"/>
    <col min="7" max="7" width="13.109375" style="32" bestFit="1" customWidth="1"/>
    <col min="8" max="8" width="17.21875" style="32" bestFit="1" customWidth="1"/>
    <col min="9" max="9" width="11.109375" style="32" bestFit="1" customWidth="1"/>
    <col min="10" max="10" width="9.21875" style="32" bestFit="1" customWidth="1"/>
    <col min="11" max="11" width="11.44140625" style="32" bestFit="1" customWidth="1"/>
    <col min="12" max="12" width="11.88671875" style="32" bestFit="1" customWidth="1"/>
    <col min="13" max="13" width="11.6640625" style="40" customWidth="1"/>
    <col min="14" max="14" width="10.33203125" style="32" bestFit="1" customWidth="1"/>
    <col min="15" max="15" width="11.109375" style="32" bestFit="1" customWidth="1"/>
    <col min="16" max="16" width="6.109375" style="32" bestFit="1" customWidth="1"/>
    <col min="17" max="17" width="14.6640625" style="32" customWidth="1"/>
    <col min="18" max="18" width="5.77734375" style="32" bestFit="1" customWidth="1"/>
    <col min="19" max="19" width="9.109375" style="32" bestFit="1" customWidth="1"/>
    <col min="20" max="20" width="11.6640625" style="32" bestFit="1" customWidth="1"/>
    <col min="21" max="21" width="9" style="32" bestFit="1" customWidth="1"/>
    <col min="22" max="25" width="8.6640625" style="32" customWidth="1"/>
  </cols>
  <sheetData>
    <row r="1" spans="1:21" ht="21.75" customHeight="1">
      <c r="A1" s="58" t="s">
        <v>90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60"/>
      <c r="N1" s="51"/>
      <c r="O1" s="51"/>
      <c r="P1" s="51"/>
    </row>
    <row r="2" spans="1:21" ht="21.75" customHeigh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60"/>
      <c r="N2" s="51"/>
      <c r="O2" s="51"/>
      <c r="P2" s="51"/>
    </row>
    <row r="3" spans="1:21" ht="24" customHeight="1">
      <c r="R3" s="5" t="s">
        <v>47</v>
      </c>
      <c r="S3" s="5" t="s">
        <v>91</v>
      </c>
      <c r="T3" s="5" t="s">
        <v>49</v>
      </c>
      <c r="U3" s="5" t="s">
        <v>50</v>
      </c>
    </row>
    <row r="4" spans="1:21" ht="14.4" customHeight="1">
      <c r="A4" s="57" t="s">
        <v>92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60"/>
      <c r="N4" s="51"/>
      <c r="O4" s="51"/>
      <c r="P4" s="51"/>
      <c r="R4" s="6" t="s">
        <v>55</v>
      </c>
      <c r="S4" s="17">
        <v>3000000</v>
      </c>
      <c r="T4" s="17">
        <f>SUMPRODUCT(IFERROR((MONTH(L42:L228)=1)*(YEAR(L42:L228)=2026),0)*I42:I228)</f>
        <v>0</v>
      </c>
      <c r="U4" s="17">
        <f>SUMPRODUCT(IFERROR((MONTH(M42:M228)=1)*(YEAR(M42:M228)=2026),0)*I42:I228)</f>
        <v>0</v>
      </c>
    </row>
    <row r="5" spans="1:21" ht="27.75" customHeight="1">
      <c r="A5" s="53" t="s">
        <v>63</v>
      </c>
      <c r="B5" s="51"/>
      <c r="C5" s="51"/>
      <c r="D5" s="51"/>
      <c r="E5" s="53" t="s">
        <v>52</v>
      </c>
      <c r="F5" s="51"/>
      <c r="G5" s="51"/>
      <c r="H5" s="51"/>
      <c r="I5" s="53" t="s">
        <v>53</v>
      </c>
      <c r="J5" s="51"/>
      <c r="K5" s="51"/>
      <c r="L5" s="51"/>
      <c r="M5" s="53" t="s">
        <v>93</v>
      </c>
      <c r="N5" s="51"/>
      <c r="O5" s="51"/>
      <c r="P5" s="51"/>
      <c r="R5" s="7" t="s">
        <v>56</v>
      </c>
      <c r="S5" s="16">
        <v>6000000</v>
      </c>
      <c r="T5" s="16">
        <f>SUMPRODUCT(IFERROR((MONTH(L58:L228)=2)*(YEAR(L58:L228)=2026),0)*I58:I228)</f>
        <v>0</v>
      </c>
      <c r="U5" s="16">
        <f>SUMPRODUCT(IFERROR((MONTH(M58:M228)=2)*(YEAR(M58:M228)=2026),0)*I58:I228)</f>
        <v>0</v>
      </c>
    </row>
    <row r="6" spans="1:21" ht="21.75" customHeight="1">
      <c r="A6" s="59">
        <f>SUMIF(B42:B228,"&lt;&gt;Delivered",I42:I228)</f>
        <v>8725490</v>
      </c>
      <c r="B6" s="55"/>
      <c r="C6" s="55"/>
      <c r="D6" s="55"/>
      <c r="E6" s="59">
        <f>SUM(K42:K228)</f>
        <v>33968159</v>
      </c>
      <c r="F6" s="55"/>
      <c r="G6" s="55"/>
      <c r="H6" s="55"/>
      <c r="I6" s="59">
        <f ca="1">SUMPRODUCT((B42:B228="Deal Signed")*IFERROR((MONTH(L42:L228)=MONTH(TODAY()))*(YEAR(L42:L228)=YEAR(TODAY())),0)*I42:I228)+SUMPRODUCT((B42:B228="Delivered")*IFERROR((MONTH(L42:L228)=MONTH(TODAY()))*(YEAR(L42:L228)=YEAR(TODAY())),0)*I42:I228)</f>
        <v>0</v>
      </c>
      <c r="J6" s="55"/>
      <c r="K6" s="55"/>
      <c r="L6" s="55"/>
      <c r="M6" s="54">
        <f>SUM(S4:S15)</f>
        <v>36000000</v>
      </c>
      <c r="N6" s="55"/>
      <c r="O6" s="55"/>
      <c r="P6" s="55"/>
      <c r="R6" s="6" t="s">
        <v>57</v>
      </c>
      <c r="S6" s="17">
        <v>3000000</v>
      </c>
      <c r="T6" s="17">
        <f>SUMPRODUCT(IFERROR((MONTH(L58:L228)=3)*(YEAR(L58:L228)=2026),0)*I58:I228)</f>
        <v>0</v>
      </c>
      <c r="U6" s="17">
        <f>SUMPRODUCT(IFERROR((MONTH(M58:M228)=3)*(YEAR(M58:M228)=2026),0)*I58:I228)</f>
        <v>0</v>
      </c>
    </row>
    <row r="7" spans="1:21" ht="21.75" customHeight="1">
      <c r="A7" s="56"/>
      <c r="B7" s="51"/>
      <c r="C7" s="51"/>
      <c r="D7" s="51"/>
      <c r="E7" s="56"/>
      <c r="F7" s="51"/>
      <c r="G7" s="51"/>
      <c r="H7" s="51"/>
      <c r="I7" s="56"/>
      <c r="J7" s="51"/>
      <c r="K7" s="51"/>
      <c r="L7" s="51"/>
      <c r="M7" s="56"/>
      <c r="N7" s="51"/>
      <c r="O7" s="51"/>
      <c r="P7" s="51"/>
      <c r="R7" s="7" t="s">
        <v>58</v>
      </c>
      <c r="S7" s="16">
        <v>3000000</v>
      </c>
      <c r="T7" s="16">
        <f>SUMPRODUCT(IFERROR((MONTH(L58:L228)=4)*(YEAR(L58:L228)=2026),0)*I58:I228)</f>
        <v>0</v>
      </c>
      <c r="U7" s="16">
        <f>SUMPRODUCT(IFERROR((MONTH(M58:M228)=4)*(YEAR(M58:M228)=2026),0)*I58:I228)</f>
        <v>0</v>
      </c>
    </row>
    <row r="8" spans="1:21" ht="14.4" customHeight="1">
      <c r="R8" s="6" t="s">
        <v>59</v>
      </c>
      <c r="S8" s="17">
        <v>2500000</v>
      </c>
      <c r="T8" s="17">
        <f>SUMPRODUCT(IFERROR((MONTH(L58:L228)=5)*(YEAR(L58:L228)=2026),0)*I58:I228)</f>
        <v>0</v>
      </c>
      <c r="U8" s="17">
        <f>SUMPRODUCT(IFERROR((MONTH(M58:M228)=5)*(YEAR(M58:M228)=2026),0)*I58:I228)</f>
        <v>0</v>
      </c>
    </row>
    <row r="9" spans="1:21" ht="14.4" customHeight="1">
      <c r="A9" s="57" t="s">
        <v>94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60"/>
      <c r="N9" s="51"/>
      <c r="O9" s="51"/>
      <c r="P9" s="51"/>
      <c r="R9" s="7" t="s">
        <v>61</v>
      </c>
      <c r="S9" s="16">
        <v>1500000</v>
      </c>
      <c r="T9" s="16">
        <f>SUMPRODUCT(IFERROR((MONTH(L58:L228)=6)*(YEAR(L58:L228)=2026),0)*I58:I228)</f>
        <v>0</v>
      </c>
      <c r="U9" s="16">
        <f>SUMPRODUCT(IFERROR((MONTH(M58:M228)=6)*(YEAR(M58:M228)=2026),0)*I58:I228)</f>
        <v>0</v>
      </c>
    </row>
    <row r="10" spans="1:21" ht="14.4" customHeight="1">
      <c r="A10" s="14" t="s">
        <v>2</v>
      </c>
      <c r="B10" s="14" t="s">
        <v>86</v>
      </c>
      <c r="C10" s="14" t="s">
        <v>87</v>
      </c>
      <c r="D10" s="14" t="s">
        <v>83</v>
      </c>
      <c r="F10" s="14" t="s">
        <v>4</v>
      </c>
      <c r="G10" s="14" t="s">
        <v>86</v>
      </c>
      <c r="H10" s="14" t="s">
        <v>87</v>
      </c>
      <c r="I10" s="14" t="s">
        <v>83</v>
      </c>
      <c r="R10" s="6" t="s">
        <v>72</v>
      </c>
      <c r="S10" s="17">
        <v>2500000</v>
      </c>
      <c r="T10" s="17">
        <f>SUMPRODUCT(IFERROR((MONTH(L58:L228)=7)*(YEAR(L58:L228)=2026),0)*I58:I228)</f>
        <v>0</v>
      </c>
      <c r="U10" s="17">
        <f>SUMPRODUCT(IFERROR((MONTH(M58:M228)=7)*(YEAR(M58:M228)=2026),0)*I58:I228)</f>
        <v>0</v>
      </c>
    </row>
    <row r="11" spans="1:21" ht="14.4" customHeight="1">
      <c r="A11" s="15" t="s">
        <v>6</v>
      </c>
      <c r="B11" s="19">
        <f>COUNTIF(B42:B228,"Interest")</f>
        <v>5</v>
      </c>
      <c r="C11" s="19">
        <f>SUMIF(B42:B228,"Interest",I42:I228)</f>
        <v>5415555</v>
      </c>
      <c r="D11" s="37">
        <f>IFERROR(SUMIF(B42:B228,"Interest",I42:I228)/SUM(I42:I228),0)</f>
        <v>0.15438958589743926</v>
      </c>
      <c r="F11" s="15" t="s">
        <v>8</v>
      </c>
      <c r="G11" s="19">
        <f>COUNTIF(D42:D228,"High")</f>
        <v>25</v>
      </c>
      <c r="H11" s="19">
        <f>SUMIF(D42:D228,"High",I42:I228)</f>
        <v>25535606</v>
      </c>
      <c r="I11" s="37">
        <f>IFERROR(SUMIF(D42:D228,"High",I42:I228)/SUM(I42:I228),0)</f>
        <v>0.72798293729454611</v>
      </c>
      <c r="R11" s="7" t="s">
        <v>73</v>
      </c>
      <c r="S11" s="16">
        <v>2500000</v>
      </c>
      <c r="T11" s="16">
        <f>SUMPRODUCT(IFERROR((MONTH(L58:L228)=8)*(YEAR(L58:L228)=2026),0)*I58:I228)</f>
        <v>0</v>
      </c>
      <c r="U11" s="16">
        <f>SUMPRODUCT(IFERROR((MONTH(M58:M228)=8)*(YEAR(M58:M228)=2026),0)*I58:I228)</f>
        <v>0</v>
      </c>
    </row>
    <row r="12" spans="1:21" ht="14.4" customHeight="1">
      <c r="A12" s="15" t="s">
        <v>10</v>
      </c>
      <c r="B12" s="19">
        <f>COUNTIF(B42:B228,"Send PI")</f>
        <v>0</v>
      </c>
      <c r="C12" s="19">
        <f>SUMIF(B42:B228,"Send PI",I42:I228)</f>
        <v>0</v>
      </c>
      <c r="D12" s="37">
        <f>IFERROR(SUMIF(B42:B228,"Send PI",I42:I228)/SUM(I42:I228),0)</f>
        <v>0</v>
      </c>
      <c r="F12" s="15" t="s">
        <v>12</v>
      </c>
      <c r="G12" s="19">
        <f>COUNTIF(D42:D228,"Medium")</f>
        <v>37</v>
      </c>
      <c r="H12" s="19">
        <f>SUMIF(D42:D228,"Medium",I42:I228)</f>
        <v>7513608</v>
      </c>
      <c r="I12" s="37">
        <f>IFERROR(SUMIF(D42:D228,"Medium",I42:I228)/SUM(I42:I228),0)</f>
        <v>0.21420202134696939</v>
      </c>
      <c r="R12" s="6" t="s">
        <v>74</v>
      </c>
      <c r="S12" s="17">
        <v>2500000</v>
      </c>
      <c r="T12" s="17">
        <f>SUMPRODUCT(IFERROR((MONTH(L58:L228)=9)*(YEAR(L58:L228)=2026),0)*I58:I228)</f>
        <v>0</v>
      </c>
      <c r="U12" s="17">
        <f>SUMPRODUCT(IFERROR((MONTH(M58:M228)=9)*(YEAR(M58:M228)=2026),0)*I58:I228)</f>
        <v>0</v>
      </c>
    </row>
    <row r="13" spans="1:21" ht="14.4" customHeight="1">
      <c r="A13" s="15" t="s">
        <v>14</v>
      </c>
      <c r="B13" s="19">
        <f>COUNTIF(B42:B228,"Negotiating")</f>
        <v>0</v>
      </c>
      <c r="C13" s="19">
        <f>SUMIF(B42:B228,"Negotiating",I42:I228)</f>
        <v>0</v>
      </c>
      <c r="D13" s="37">
        <f>IFERROR(SUMIF(B42:B228,"Negotiating",I42:I228)/SUM(I42:I228),0)</f>
        <v>0</v>
      </c>
      <c r="F13" s="15" t="s">
        <v>15</v>
      </c>
      <c r="G13" s="19">
        <f>COUNTIF(D42:D228,"Low")</f>
        <v>58</v>
      </c>
      <c r="H13" s="19">
        <f>SUMIF(D42:D228,"Low",I42:I228)</f>
        <v>2027990</v>
      </c>
      <c r="I13" s="37">
        <f>IFERROR(SUMIF(D42:D228,"Low",I42:I228)/SUM(I42:I228),0)</f>
        <v>5.7815041358484559E-2</v>
      </c>
      <c r="R13" s="7" t="s">
        <v>75</v>
      </c>
      <c r="S13" s="16">
        <v>3500000</v>
      </c>
      <c r="T13" s="16">
        <f>SUMPRODUCT(IFERROR((MONTH(L58:L228)=10)*(YEAR(L58:L228)=2026),0)*I58:I228)</f>
        <v>0</v>
      </c>
      <c r="U13" s="16">
        <f>SUMPRODUCT(IFERROR((MONTH(M58:M228)=10)*(YEAR(M58:M228)=2026),0)*I58:I228)</f>
        <v>0</v>
      </c>
    </row>
    <row r="14" spans="1:21" ht="14.4" customHeight="1">
      <c r="A14" s="15" t="s">
        <v>17</v>
      </c>
      <c r="B14" s="19">
        <f>COUNTIF(B42:B228,"Deal Signed")</f>
        <v>16</v>
      </c>
      <c r="C14" s="19">
        <f>SUMIF(B42:B228,"Deal Signed",I42:I228)</f>
        <v>3309935</v>
      </c>
      <c r="D14" s="37">
        <f>IFERROR(SUMIF(B42:B228,"Deal Signed",I42:I228)/SUM(I42:I228),0)</f>
        <v>9.4361426298401663E-2</v>
      </c>
      <c r="F14" s="63" t="s">
        <v>95</v>
      </c>
      <c r="G14" s="51"/>
      <c r="H14" s="51"/>
      <c r="I14" s="51"/>
      <c r="J14" s="51"/>
      <c r="K14" s="51"/>
      <c r="L14" s="51"/>
      <c r="M14" s="60"/>
      <c r="N14" s="51"/>
      <c r="O14" s="51"/>
      <c r="P14" s="51"/>
      <c r="R14" s="6" t="s">
        <v>76</v>
      </c>
      <c r="S14" s="17">
        <v>3000000</v>
      </c>
      <c r="T14" s="17">
        <f>SUMPRODUCT(IFERROR((MONTH(L58:L228)=11)*(YEAR(L58:L228)=2026),0)*I58:I228)</f>
        <v>0</v>
      </c>
      <c r="U14" s="17">
        <f>SUMPRODUCT(IFERROR((MONTH(M58:M228)=11)*(YEAR(M58:M228)=2026),0)*I58:I228)</f>
        <v>0</v>
      </c>
    </row>
    <row r="15" spans="1:21" ht="21.75" customHeight="1">
      <c r="A15" s="15" t="s">
        <v>19</v>
      </c>
      <c r="B15" s="19">
        <f>COUNTIF(B42:B228,"Delivered")</f>
        <v>99</v>
      </c>
      <c r="C15" s="19">
        <f>SUMIF(B42:B228,"Delivered",I42:I228)</f>
        <v>26351714</v>
      </c>
      <c r="D15" s="37">
        <f>IFERROR(SUMIF(B42:B228,"Delivered",I42:I228)/SUM(I42:I228),0)</f>
        <v>0.75124898780415905</v>
      </c>
      <c r="F15" s="61" t="str">
        <f ca="1">"Signed this month: "&amp;TEXT(SUMPRODUCT((B42:B228="Deal Signed")*IFERROR((MONTH(L42:L228)=MONTH(TODAY()))*(YEAR(L42:L228)=YEAR(TODAY())),0)*I42:I228)+SUMPRODUCT((B42:B228="Delivered")*IFERROR((MONTH(L42:L228)=MONTH(TODAY()))*(YEAR(L42:L228)=YEAR(TODAY())),0)*I42:I228),"#,##0")&amp;" THB  |  Target: "&amp;TEXT('⚙ Control Panel'!$A$23,"#,##0")&amp;" THB"</f>
        <v>Signed this month: 0 THB  |  Target: 3,000,000 THB</v>
      </c>
      <c r="G15" s="62"/>
      <c r="H15" s="62"/>
      <c r="I15" s="62"/>
      <c r="J15" s="62"/>
      <c r="K15" s="62"/>
      <c r="L15" s="62"/>
      <c r="M15" s="62"/>
      <c r="N15" s="62"/>
      <c r="O15" s="62"/>
      <c r="P15" s="62"/>
      <c r="R15" s="7" t="s">
        <v>77</v>
      </c>
      <c r="S15" s="16">
        <v>3000000</v>
      </c>
      <c r="T15" s="16">
        <f>SUMPRODUCT(IFERROR((MONTH(L58:L228)=12)*(YEAR(L58:L228)=2026),0)*I58:I228)</f>
        <v>0</v>
      </c>
      <c r="U15" s="16">
        <f>SUMPRODUCT(IFERROR((MONTH(M58:M228)=12)*(YEAR(M58:M228)=2026),0)*I58:I228)</f>
        <v>0</v>
      </c>
    </row>
    <row r="17" spans="1:16" ht="14.4" customHeight="1">
      <c r="A17" s="57" t="s">
        <v>96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60"/>
      <c r="N17" s="51"/>
      <c r="O17" s="51"/>
      <c r="P17" s="51"/>
    </row>
    <row r="21" spans="1:16" ht="15.75" customHeight="1"/>
    <row r="22" spans="1:16" ht="15.75" customHeight="1"/>
    <row r="23" spans="1:16" ht="15.75" customHeight="1"/>
    <row r="24" spans="1:16" ht="15.75" customHeight="1"/>
    <row r="25" spans="1:16" ht="15.75" customHeight="1"/>
    <row r="26" spans="1:16" ht="15.75" customHeight="1"/>
    <row r="27" spans="1:16" ht="15.75" customHeight="1"/>
    <row r="28" spans="1:16" ht="15.75" customHeight="1"/>
    <row r="29" spans="1:16" ht="15.75" customHeight="1"/>
    <row r="30" spans="1:16" ht="15.75" customHeight="1"/>
    <row r="31" spans="1:16" ht="15.75" customHeight="1"/>
    <row r="32" spans="1:16" ht="15.75" customHeight="1"/>
    <row r="33" spans="1:17" ht="15.75" customHeight="1"/>
    <row r="34" spans="1:17" ht="15.75" customHeight="1"/>
    <row r="35" spans="1:17" ht="15.75" customHeight="1"/>
    <row r="36" spans="1:17" ht="15.75" customHeight="1"/>
    <row r="37" spans="1:17" ht="15.75" customHeight="1"/>
    <row r="38" spans="1:17" ht="15.75" customHeight="1"/>
    <row r="39" spans="1:17" ht="15.75" customHeight="1"/>
    <row r="40" spans="1:17" ht="6" customHeight="1"/>
    <row r="41" spans="1:17" ht="31.5" customHeight="1">
      <c r="A41" s="18" t="s">
        <v>97</v>
      </c>
      <c r="B41" s="18" t="s">
        <v>2</v>
      </c>
      <c r="C41" s="18" t="s">
        <v>3</v>
      </c>
      <c r="D41" s="18" t="s">
        <v>4</v>
      </c>
      <c r="E41" s="18" t="s">
        <v>98</v>
      </c>
      <c r="F41" s="18" t="s">
        <v>22</v>
      </c>
      <c r="G41" s="18" t="s">
        <v>23</v>
      </c>
      <c r="H41" s="18" t="s">
        <v>24</v>
      </c>
      <c r="I41" s="18" t="s">
        <v>99</v>
      </c>
      <c r="J41" s="18" t="s">
        <v>100</v>
      </c>
      <c r="K41" s="18" t="s">
        <v>101</v>
      </c>
      <c r="L41" s="31" t="s">
        <v>102</v>
      </c>
      <c r="M41" s="41" t="s">
        <v>103</v>
      </c>
      <c r="N41" s="18" t="s">
        <v>104</v>
      </c>
      <c r="O41" s="18" t="s">
        <v>105</v>
      </c>
      <c r="P41" s="18" t="s">
        <v>106</v>
      </c>
      <c r="Q41" s="18" t="s">
        <v>107</v>
      </c>
    </row>
    <row r="42" spans="1:17" ht="15.75" customHeight="1">
      <c r="A42" s="20" t="s">
        <v>108</v>
      </c>
      <c r="B42" s="21" t="s">
        <v>19</v>
      </c>
      <c r="C42" s="21" t="s">
        <v>7</v>
      </c>
      <c r="D42" s="21" t="s">
        <v>15</v>
      </c>
      <c r="E42" s="21" t="s">
        <v>33</v>
      </c>
      <c r="F42" s="21" t="s">
        <v>34</v>
      </c>
      <c r="G42" s="21" t="s">
        <v>31</v>
      </c>
      <c r="H42" s="21" t="s">
        <v>38</v>
      </c>
      <c r="I42" s="19">
        <v>32196</v>
      </c>
      <c r="J42" s="22">
        <v>1</v>
      </c>
      <c r="K42" s="19">
        <f t="shared" ref="K42:K73" si="0">IF(I42="",0,I42*J42)</f>
        <v>32196</v>
      </c>
      <c r="L42" s="42"/>
      <c r="M42" s="43">
        <v>46053</v>
      </c>
      <c r="N42" s="44">
        <v>46053</v>
      </c>
      <c r="O42" s="20"/>
      <c r="P42" s="20"/>
      <c r="Q42" t="s">
        <v>109</v>
      </c>
    </row>
    <row r="43" spans="1:17" ht="15.75" customHeight="1">
      <c r="A43" s="20" t="s">
        <v>110</v>
      </c>
      <c r="B43" s="21" t="s">
        <v>19</v>
      </c>
      <c r="C43" s="21" t="s">
        <v>7</v>
      </c>
      <c r="D43" s="21" t="s">
        <v>15</v>
      </c>
      <c r="E43" s="21" t="s">
        <v>33</v>
      </c>
      <c r="F43" s="21" t="s">
        <v>30</v>
      </c>
      <c r="G43" s="21" t="s">
        <v>31</v>
      </c>
      <c r="H43" s="21" t="s">
        <v>38</v>
      </c>
      <c r="I43" s="19">
        <v>10070</v>
      </c>
      <c r="J43" s="22">
        <v>1</v>
      </c>
      <c r="K43" s="19">
        <f t="shared" si="0"/>
        <v>10070</v>
      </c>
      <c r="L43" s="42"/>
      <c r="M43" s="43">
        <v>46052</v>
      </c>
      <c r="N43" s="44">
        <v>46053</v>
      </c>
      <c r="O43" s="20"/>
      <c r="P43" s="20"/>
      <c r="Q43" t="s">
        <v>111</v>
      </c>
    </row>
    <row r="44" spans="1:17" ht="15.75" customHeight="1">
      <c r="A44" s="20" t="s">
        <v>112</v>
      </c>
      <c r="B44" s="21" t="s">
        <v>19</v>
      </c>
      <c r="C44" s="21" t="s">
        <v>11</v>
      </c>
      <c r="D44" s="21" t="s">
        <v>15</v>
      </c>
      <c r="E44" s="21" t="s">
        <v>29</v>
      </c>
      <c r="F44" s="21" t="s">
        <v>30</v>
      </c>
      <c r="G44" s="21" t="s">
        <v>31</v>
      </c>
      <c r="H44" s="21" t="s">
        <v>28</v>
      </c>
      <c r="I44" s="19">
        <v>271532</v>
      </c>
      <c r="J44" s="22">
        <v>1</v>
      </c>
      <c r="K44" s="19">
        <f t="shared" si="0"/>
        <v>271532</v>
      </c>
      <c r="L44" s="42"/>
      <c r="M44" s="43">
        <v>46052</v>
      </c>
      <c r="N44" s="44">
        <v>46053</v>
      </c>
      <c r="O44" s="20"/>
      <c r="P44" s="20"/>
      <c r="Q44" t="s">
        <v>113</v>
      </c>
    </row>
    <row r="45" spans="1:17" ht="15.75" customHeight="1">
      <c r="A45" s="20" t="s">
        <v>114</v>
      </c>
      <c r="B45" s="21" t="s">
        <v>19</v>
      </c>
      <c r="C45" s="21" t="s">
        <v>11</v>
      </c>
      <c r="D45" s="21" t="s">
        <v>15</v>
      </c>
      <c r="E45" s="21" t="s">
        <v>33</v>
      </c>
      <c r="F45" s="21" t="s">
        <v>34</v>
      </c>
      <c r="G45" s="21" t="s">
        <v>31</v>
      </c>
      <c r="H45" s="21" t="s">
        <v>28</v>
      </c>
      <c r="I45" s="19">
        <v>21600</v>
      </c>
      <c r="J45" s="22">
        <v>1</v>
      </c>
      <c r="K45" s="19">
        <f t="shared" si="0"/>
        <v>21600</v>
      </c>
      <c r="L45" s="42"/>
      <c r="M45" s="43">
        <v>46052</v>
      </c>
      <c r="N45" s="44">
        <v>46053</v>
      </c>
      <c r="O45" s="20"/>
      <c r="P45" s="20"/>
      <c r="Q45" t="s">
        <v>115</v>
      </c>
    </row>
    <row r="46" spans="1:17" ht="15.75" customHeight="1">
      <c r="A46" s="20" t="s">
        <v>116</v>
      </c>
      <c r="B46" s="21" t="s">
        <v>19</v>
      </c>
      <c r="C46" s="21" t="s">
        <v>11</v>
      </c>
      <c r="D46" s="21" t="s">
        <v>15</v>
      </c>
      <c r="E46" s="21" t="s">
        <v>25</v>
      </c>
      <c r="F46" s="21" t="s">
        <v>30</v>
      </c>
      <c r="G46" s="21" t="s">
        <v>35</v>
      </c>
      <c r="H46" s="21" t="s">
        <v>28</v>
      </c>
      <c r="I46" s="19">
        <v>9760</v>
      </c>
      <c r="J46" s="22">
        <v>1</v>
      </c>
      <c r="K46" s="19">
        <f t="shared" si="0"/>
        <v>9760</v>
      </c>
      <c r="L46" s="44"/>
      <c r="M46" s="45">
        <v>46052</v>
      </c>
      <c r="N46" s="44">
        <v>46053</v>
      </c>
      <c r="O46" s="20"/>
      <c r="P46" s="20"/>
      <c r="Q46" t="s">
        <v>117</v>
      </c>
    </row>
    <row r="47" spans="1:17" ht="15.75" customHeight="1">
      <c r="A47" s="20" t="s">
        <v>118</v>
      </c>
      <c r="B47" s="21" t="s">
        <v>19</v>
      </c>
      <c r="C47" s="21" t="s">
        <v>11</v>
      </c>
      <c r="D47" s="21" t="s">
        <v>15</v>
      </c>
      <c r="E47" s="21" t="s">
        <v>29</v>
      </c>
      <c r="F47" s="21" t="s">
        <v>30</v>
      </c>
      <c r="G47" s="21" t="s">
        <v>31</v>
      </c>
      <c r="H47" s="21" t="s">
        <v>28</v>
      </c>
      <c r="I47" s="19">
        <v>4205</v>
      </c>
      <c r="J47" s="22">
        <v>1</v>
      </c>
      <c r="K47" s="19">
        <f t="shared" si="0"/>
        <v>4205</v>
      </c>
      <c r="L47" s="44"/>
      <c r="M47" s="45">
        <v>46052</v>
      </c>
      <c r="N47" s="44">
        <v>46053</v>
      </c>
      <c r="O47" s="20"/>
      <c r="P47" s="20"/>
      <c r="Q47" t="s">
        <v>119</v>
      </c>
    </row>
    <row r="48" spans="1:17" ht="15.75" customHeight="1">
      <c r="A48" s="20" t="s">
        <v>120</v>
      </c>
      <c r="B48" s="21" t="s">
        <v>19</v>
      </c>
      <c r="C48" s="21" t="s">
        <v>11</v>
      </c>
      <c r="D48" s="21" t="s">
        <v>15</v>
      </c>
      <c r="E48" s="21" t="s">
        <v>29</v>
      </c>
      <c r="F48" s="21" t="s">
        <v>39</v>
      </c>
      <c r="G48" s="21" t="s">
        <v>35</v>
      </c>
      <c r="H48" s="21" t="s">
        <v>28</v>
      </c>
      <c r="I48" s="19">
        <v>3930</v>
      </c>
      <c r="J48" s="22">
        <v>1</v>
      </c>
      <c r="K48" s="19">
        <f t="shared" si="0"/>
        <v>3930</v>
      </c>
      <c r="L48" s="44"/>
      <c r="M48" s="45">
        <v>46052</v>
      </c>
      <c r="N48" s="44">
        <v>46053</v>
      </c>
      <c r="O48" s="20"/>
      <c r="P48" s="20"/>
      <c r="Q48" t="s">
        <v>121</v>
      </c>
    </row>
    <row r="49" spans="1:17" ht="15.75" customHeight="1">
      <c r="A49" s="20" t="s">
        <v>122</v>
      </c>
      <c r="B49" s="21" t="s">
        <v>19</v>
      </c>
      <c r="C49" s="21" t="s">
        <v>11</v>
      </c>
      <c r="D49" s="21" t="s">
        <v>8</v>
      </c>
      <c r="E49" s="21" t="s">
        <v>25</v>
      </c>
      <c r="F49" s="21" t="s">
        <v>30</v>
      </c>
      <c r="G49" s="21" t="s">
        <v>31</v>
      </c>
      <c r="H49" s="21" t="s">
        <v>28</v>
      </c>
      <c r="I49" s="19">
        <v>759490</v>
      </c>
      <c r="J49" s="22">
        <v>1</v>
      </c>
      <c r="K49" s="19">
        <f t="shared" si="0"/>
        <v>759490</v>
      </c>
      <c r="L49" s="44"/>
      <c r="M49" s="45">
        <v>46052</v>
      </c>
      <c r="N49" s="46">
        <v>46053</v>
      </c>
      <c r="O49" s="20"/>
      <c r="P49" s="20"/>
      <c r="Q49" t="s">
        <v>123</v>
      </c>
    </row>
    <row r="50" spans="1:17" ht="15.75" customHeight="1">
      <c r="A50" s="20" t="s">
        <v>124</v>
      </c>
      <c r="B50" s="21" t="s">
        <v>19</v>
      </c>
      <c r="C50" s="21" t="s">
        <v>11</v>
      </c>
      <c r="D50" s="21" t="s">
        <v>15</v>
      </c>
      <c r="E50" s="21" t="s">
        <v>33</v>
      </c>
      <c r="F50" s="21" t="s">
        <v>30</v>
      </c>
      <c r="G50" s="21" t="s">
        <v>31</v>
      </c>
      <c r="H50" s="21" t="s">
        <v>28</v>
      </c>
      <c r="I50" s="19">
        <v>49502</v>
      </c>
      <c r="J50" s="22">
        <v>1</v>
      </c>
      <c r="K50" s="19">
        <f t="shared" si="0"/>
        <v>49502</v>
      </c>
      <c r="L50" s="44"/>
      <c r="M50" s="45">
        <v>46052</v>
      </c>
      <c r="N50" s="44">
        <v>46053</v>
      </c>
      <c r="O50" s="20"/>
      <c r="P50" s="20"/>
      <c r="Q50" t="s">
        <v>125</v>
      </c>
    </row>
    <row r="51" spans="1:17" ht="15.75" customHeight="1">
      <c r="A51" s="20" t="s">
        <v>126</v>
      </c>
      <c r="B51" s="21" t="s">
        <v>19</v>
      </c>
      <c r="C51" s="21" t="s">
        <v>11</v>
      </c>
      <c r="D51" s="21" t="s">
        <v>12</v>
      </c>
      <c r="E51" s="21" t="s">
        <v>33</v>
      </c>
      <c r="F51" s="21" t="s">
        <v>30</v>
      </c>
      <c r="G51" s="21" t="s">
        <v>35</v>
      </c>
      <c r="H51" s="21" t="s">
        <v>36</v>
      </c>
      <c r="I51" s="19">
        <v>103287</v>
      </c>
      <c r="J51" s="22">
        <v>1</v>
      </c>
      <c r="K51" s="19">
        <f t="shared" si="0"/>
        <v>103287</v>
      </c>
      <c r="L51" s="44"/>
      <c r="M51" s="45">
        <v>46052</v>
      </c>
      <c r="N51" s="44">
        <v>46053</v>
      </c>
      <c r="O51" s="20"/>
      <c r="P51" s="20"/>
      <c r="Q51" t="s">
        <v>127</v>
      </c>
    </row>
    <row r="52" spans="1:17" ht="15.75" customHeight="1">
      <c r="A52" s="20" t="s">
        <v>128</v>
      </c>
      <c r="B52" s="21" t="s">
        <v>19</v>
      </c>
      <c r="C52" s="21" t="s">
        <v>11</v>
      </c>
      <c r="D52" s="21" t="s">
        <v>12</v>
      </c>
      <c r="E52" s="21" t="s">
        <v>33</v>
      </c>
      <c r="F52" s="21" t="s">
        <v>30</v>
      </c>
      <c r="G52" s="21" t="s">
        <v>35</v>
      </c>
      <c r="H52" s="21" t="s">
        <v>36</v>
      </c>
      <c r="I52" s="19">
        <v>102587</v>
      </c>
      <c r="J52" s="22">
        <v>1</v>
      </c>
      <c r="K52" s="19">
        <f t="shared" si="0"/>
        <v>102587</v>
      </c>
      <c r="L52" s="44"/>
      <c r="M52" s="45">
        <v>46052</v>
      </c>
      <c r="N52" s="44">
        <v>46053</v>
      </c>
      <c r="O52" s="20"/>
      <c r="P52" s="20"/>
      <c r="Q52" t="s">
        <v>129</v>
      </c>
    </row>
    <row r="53" spans="1:17" ht="15.75" customHeight="1">
      <c r="A53" s="20" t="s">
        <v>130</v>
      </c>
      <c r="B53" s="21" t="s">
        <v>19</v>
      </c>
      <c r="C53" s="21" t="s">
        <v>11</v>
      </c>
      <c r="D53" s="21" t="s">
        <v>8</v>
      </c>
      <c r="E53" s="21" t="s">
        <v>29</v>
      </c>
      <c r="F53" s="21" t="s">
        <v>30</v>
      </c>
      <c r="G53" s="21" t="s">
        <v>35</v>
      </c>
      <c r="H53" s="21" t="s">
        <v>38</v>
      </c>
      <c r="I53" s="19">
        <v>799984</v>
      </c>
      <c r="J53" s="22">
        <v>1</v>
      </c>
      <c r="K53" s="19">
        <f t="shared" si="0"/>
        <v>799984</v>
      </c>
      <c r="L53" s="44"/>
      <c r="M53" s="45">
        <v>46052</v>
      </c>
      <c r="N53" s="44">
        <v>46053</v>
      </c>
      <c r="O53" s="20"/>
      <c r="P53" s="20"/>
      <c r="Q53" t="s">
        <v>131</v>
      </c>
    </row>
    <row r="54" spans="1:17" ht="15.75" customHeight="1">
      <c r="A54" s="20" t="s">
        <v>132</v>
      </c>
      <c r="B54" s="21" t="s">
        <v>19</v>
      </c>
      <c r="C54" s="21" t="s">
        <v>11</v>
      </c>
      <c r="D54" s="21" t="s">
        <v>12</v>
      </c>
      <c r="E54" s="21" t="s">
        <v>33</v>
      </c>
      <c r="F54" s="21" t="s">
        <v>34</v>
      </c>
      <c r="G54" s="21" t="s">
        <v>35</v>
      </c>
      <c r="H54" s="21" t="s">
        <v>38</v>
      </c>
      <c r="I54" s="19">
        <v>104515</v>
      </c>
      <c r="J54" s="22">
        <v>1</v>
      </c>
      <c r="K54" s="19">
        <f t="shared" si="0"/>
        <v>104515</v>
      </c>
      <c r="L54" s="44"/>
      <c r="M54" s="45">
        <v>46052</v>
      </c>
      <c r="N54" s="44">
        <v>46053</v>
      </c>
      <c r="O54" s="20"/>
      <c r="P54" s="20"/>
      <c r="Q54" t="s">
        <v>133</v>
      </c>
    </row>
    <row r="55" spans="1:17" ht="15.75" customHeight="1">
      <c r="A55" s="20" t="s">
        <v>134</v>
      </c>
      <c r="B55" s="21" t="s">
        <v>19</v>
      </c>
      <c r="C55" s="21" t="s">
        <v>11</v>
      </c>
      <c r="D55" s="21" t="s">
        <v>15</v>
      </c>
      <c r="E55" s="21" t="s">
        <v>25</v>
      </c>
      <c r="F55" s="21" t="s">
        <v>30</v>
      </c>
      <c r="G55" s="21" t="s">
        <v>31</v>
      </c>
      <c r="H55" s="21" t="s">
        <v>28</v>
      </c>
      <c r="I55" s="19">
        <v>9150</v>
      </c>
      <c r="J55" s="22">
        <v>1</v>
      </c>
      <c r="K55" s="19">
        <f t="shared" si="0"/>
        <v>9150</v>
      </c>
      <c r="L55" s="44"/>
      <c r="M55" s="45">
        <v>46052</v>
      </c>
      <c r="N55" s="44">
        <v>46053</v>
      </c>
      <c r="O55" s="20"/>
      <c r="P55" s="20"/>
      <c r="Q55" t="s">
        <v>135</v>
      </c>
    </row>
    <row r="56" spans="1:17" ht="15.75" customHeight="1">
      <c r="A56" s="20" t="s">
        <v>136</v>
      </c>
      <c r="B56" s="21" t="s">
        <v>19</v>
      </c>
      <c r="C56" s="21" t="s">
        <v>11</v>
      </c>
      <c r="D56" s="21" t="s">
        <v>8</v>
      </c>
      <c r="E56" s="21" t="s">
        <v>33</v>
      </c>
      <c r="F56" s="21" t="s">
        <v>30</v>
      </c>
      <c r="G56" s="21" t="s">
        <v>31</v>
      </c>
      <c r="H56" s="21" t="s">
        <v>38</v>
      </c>
      <c r="I56" s="19">
        <v>539540</v>
      </c>
      <c r="J56" s="22">
        <v>1</v>
      </c>
      <c r="K56" s="19">
        <f t="shared" si="0"/>
        <v>539540</v>
      </c>
      <c r="L56" s="44"/>
      <c r="M56" s="45">
        <v>46052</v>
      </c>
      <c r="N56" s="44">
        <v>46053</v>
      </c>
      <c r="O56" s="20"/>
      <c r="P56" s="20"/>
      <c r="Q56" t="s">
        <v>137</v>
      </c>
    </row>
    <row r="57" spans="1:17" ht="15.75" customHeight="1">
      <c r="A57" s="20" t="s">
        <v>138</v>
      </c>
      <c r="B57" s="21" t="s">
        <v>19</v>
      </c>
      <c r="C57" s="21" t="s">
        <v>11</v>
      </c>
      <c r="D57" s="21" t="s">
        <v>12</v>
      </c>
      <c r="E57" s="21" t="s">
        <v>33</v>
      </c>
      <c r="F57" s="21" t="s">
        <v>30</v>
      </c>
      <c r="G57" s="21" t="s">
        <v>35</v>
      </c>
      <c r="H57" s="21" t="s">
        <v>38</v>
      </c>
      <c r="I57" s="19">
        <v>257446</v>
      </c>
      <c r="J57" s="22">
        <v>1</v>
      </c>
      <c r="K57" s="19">
        <f t="shared" si="0"/>
        <v>257446</v>
      </c>
      <c r="L57" s="44"/>
      <c r="M57" s="45">
        <v>46053</v>
      </c>
      <c r="N57" s="44">
        <v>46053</v>
      </c>
      <c r="O57" s="20"/>
      <c r="P57" s="20"/>
      <c r="Q57" t="s">
        <v>139</v>
      </c>
    </row>
    <row r="58" spans="1:17" ht="15.75" customHeight="1">
      <c r="A58" s="20" t="s">
        <v>108</v>
      </c>
      <c r="B58" s="21" t="s">
        <v>19</v>
      </c>
      <c r="C58" s="21" t="s">
        <v>7</v>
      </c>
      <c r="D58" s="21" t="s">
        <v>12</v>
      </c>
      <c r="E58" s="21" t="s">
        <v>33</v>
      </c>
      <c r="F58" s="21" t="s">
        <v>30</v>
      </c>
      <c r="G58" s="21" t="s">
        <v>31</v>
      </c>
      <c r="H58" s="21" t="s">
        <v>38</v>
      </c>
      <c r="I58" s="19">
        <v>100405</v>
      </c>
      <c r="J58" s="22">
        <v>1</v>
      </c>
      <c r="K58" s="19">
        <f t="shared" si="0"/>
        <v>100405</v>
      </c>
      <c r="L58" s="44"/>
      <c r="M58" s="45">
        <v>46054</v>
      </c>
      <c r="N58" s="44">
        <v>46054</v>
      </c>
      <c r="O58" s="20"/>
      <c r="P58" s="20"/>
      <c r="Q58" t="s">
        <v>140</v>
      </c>
    </row>
    <row r="59" spans="1:17" ht="15.75" customHeight="1">
      <c r="A59" s="20" t="s">
        <v>141</v>
      </c>
      <c r="B59" s="21" t="s">
        <v>19</v>
      </c>
      <c r="C59" s="21" t="s">
        <v>7</v>
      </c>
      <c r="D59" s="21" t="s">
        <v>12</v>
      </c>
      <c r="E59" s="21" t="s">
        <v>25</v>
      </c>
      <c r="F59" s="21" t="s">
        <v>30</v>
      </c>
      <c r="G59" s="21" t="s">
        <v>31</v>
      </c>
      <c r="H59" s="21" t="s">
        <v>38</v>
      </c>
      <c r="I59" s="19">
        <v>102000</v>
      </c>
      <c r="J59" s="22">
        <v>1</v>
      </c>
      <c r="K59" s="19">
        <f t="shared" si="0"/>
        <v>102000</v>
      </c>
      <c r="L59" s="44"/>
      <c r="M59" s="45">
        <v>46055</v>
      </c>
      <c r="N59" s="44">
        <v>46055</v>
      </c>
      <c r="O59" s="20"/>
      <c r="P59" s="20"/>
      <c r="Q59" t="s">
        <v>142</v>
      </c>
    </row>
    <row r="60" spans="1:17" ht="15.75" customHeight="1">
      <c r="A60" s="20" t="s">
        <v>143</v>
      </c>
      <c r="B60" s="21" t="s">
        <v>19</v>
      </c>
      <c r="C60" s="21" t="s">
        <v>11</v>
      </c>
      <c r="D60" s="21" t="s">
        <v>15</v>
      </c>
      <c r="E60" s="21" t="s">
        <v>33</v>
      </c>
      <c r="F60" s="21" t="s">
        <v>30</v>
      </c>
      <c r="G60" s="21" t="s">
        <v>31</v>
      </c>
      <c r="H60" s="21" t="s">
        <v>28</v>
      </c>
      <c r="I60" s="19">
        <v>37360</v>
      </c>
      <c r="J60" s="22">
        <v>1</v>
      </c>
      <c r="K60" s="19">
        <f t="shared" si="0"/>
        <v>37360</v>
      </c>
      <c r="L60" s="44"/>
      <c r="M60" s="45">
        <v>46056</v>
      </c>
      <c r="N60" s="44">
        <v>46056</v>
      </c>
      <c r="O60" s="20"/>
      <c r="P60" s="20"/>
      <c r="Q60" t="s">
        <v>144</v>
      </c>
    </row>
    <row r="61" spans="1:17" ht="15.75" customHeight="1">
      <c r="A61" s="20" t="s">
        <v>145</v>
      </c>
      <c r="B61" s="21" t="s">
        <v>19</v>
      </c>
      <c r="C61" s="21" t="s">
        <v>11</v>
      </c>
      <c r="D61" s="21" t="s">
        <v>15</v>
      </c>
      <c r="E61" s="21" t="s">
        <v>29</v>
      </c>
      <c r="F61" s="21" t="s">
        <v>30</v>
      </c>
      <c r="G61" s="21" t="s">
        <v>31</v>
      </c>
      <c r="H61" s="21" t="s">
        <v>28</v>
      </c>
      <c r="I61" s="19">
        <v>15900</v>
      </c>
      <c r="J61" s="22">
        <v>1</v>
      </c>
      <c r="K61" s="19">
        <f t="shared" si="0"/>
        <v>15900</v>
      </c>
      <c r="L61" s="44"/>
      <c r="M61" s="45">
        <v>46057</v>
      </c>
      <c r="N61" s="44">
        <v>46057</v>
      </c>
      <c r="O61" s="20"/>
      <c r="P61" s="20"/>
      <c r="Q61" t="s">
        <v>146</v>
      </c>
    </row>
    <row r="62" spans="1:17" ht="15.75" customHeight="1">
      <c r="A62" s="20" t="s">
        <v>112</v>
      </c>
      <c r="B62" s="21" t="s">
        <v>19</v>
      </c>
      <c r="C62" s="21" t="s">
        <v>11</v>
      </c>
      <c r="D62" s="21" t="s">
        <v>8</v>
      </c>
      <c r="E62" s="21" t="s">
        <v>33</v>
      </c>
      <c r="F62" s="21" t="s">
        <v>30</v>
      </c>
      <c r="G62" s="21" t="s">
        <v>35</v>
      </c>
      <c r="H62" s="21" t="s">
        <v>36</v>
      </c>
      <c r="I62" s="19">
        <v>1024771</v>
      </c>
      <c r="J62" s="22">
        <v>1</v>
      </c>
      <c r="K62" s="19">
        <f t="shared" si="0"/>
        <v>1024771</v>
      </c>
      <c r="L62" s="44"/>
      <c r="M62" s="45">
        <v>46058</v>
      </c>
      <c r="N62" s="44">
        <v>46058</v>
      </c>
      <c r="O62" s="20"/>
      <c r="P62" s="20"/>
      <c r="Q62" t="s">
        <v>147</v>
      </c>
    </row>
    <row r="63" spans="1:17" ht="15.75" customHeight="1">
      <c r="A63" s="20" t="s">
        <v>148</v>
      </c>
      <c r="B63" s="21" t="s">
        <v>19</v>
      </c>
      <c r="C63" s="21" t="s">
        <v>11</v>
      </c>
      <c r="D63" s="21" t="s">
        <v>12</v>
      </c>
      <c r="E63" s="21" t="s">
        <v>25</v>
      </c>
      <c r="F63" s="21" t="s">
        <v>30</v>
      </c>
      <c r="G63" s="21" t="s">
        <v>35</v>
      </c>
      <c r="H63" s="21" t="s">
        <v>38</v>
      </c>
      <c r="I63" s="19">
        <v>301990</v>
      </c>
      <c r="J63" s="22">
        <v>1</v>
      </c>
      <c r="K63" s="19">
        <f t="shared" si="0"/>
        <v>301990</v>
      </c>
      <c r="L63" s="44"/>
      <c r="M63" s="45">
        <v>46059</v>
      </c>
      <c r="N63" s="44">
        <v>46059</v>
      </c>
      <c r="O63" s="20"/>
      <c r="P63" s="20"/>
      <c r="Q63" t="s">
        <v>149</v>
      </c>
    </row>
    <row r="64" spans="1:17" ht="15.75" customHeight="1">
      <c r="A64" s="20" t="s">
        <v>150</v>
      </c>
      <c r="B64" s="21" t="s">
        <v>19</v>
      </c>
      <c r="C64" s="21" t="s">
        <v>11</v>
      </c>
      <c r="D64" s="21" t="s">
        <v>12</v>
      </c>
      <c r="E64" s="21" t="s">
        <v>29</v>
      </c>
      <c r="F64" s="21" t="s">
        <v>30</v>
      </c>
      <c r="G64" s="21" t="s">
        <v>35</v>
      </c>
      <c r="H64" s="21" t="s">
        <v>38</v>
      </c>
      <c r="I64" s="19">
        <v>25200</v>
      </c>
      <c r="J64" s="22">
        <v>1</v>
      </c>
      <c r="K64" s="19">
        <f t="shared" si="0"/>
        <v>25200</v>
      </c>
      <c r="L64" s="44"/>
      <c r="M64" s="45">
        <v>46060</v>
      </c>
      <c r="N64" s="44">
        <v>46060</v>
      </c>
      <c r="O64" s="20"/>
      <c r="P64" s="20"/>
      <c r="Q64" t="s">
        <v>151</v>
      </c>
    </row>
    <row r="65" spans="1:17" ht="15.75" customHeight="1">
      <c r="A65" s="20" t="s">
        <v>152</v>
      </c>
      <c r="B65" s="21" t="s">
        <v>19</v>
      </c>
      <c r="C65" s="21" t="s">
        <v>11</v>
      </c>
      <c r="D65" s="21" t="s">
        <v>12</v>
      </c>
      <c r="E65" s="21" t="s">
        <v>33</v>
      </c>
      <c r="F65" s="21" t="s">
        <v>30</v>
      </c>
      <c r="G65" s="21" t="s">
        <v>35</v>
      </c>
      <c r="H65" s="21" t="s">
        <v>38</v>
      </c>
      <c r="I65" s="19">
        <v>390510</v>
      </c>
      <c r="J65" s="22">
        <v>1</v>
      </c>
      <c r="K65" s="19">
        <f t="shared" si="0"/>
        <v>390510</v>
      </c>
      <c r="L65" s="44"/>
      <c r="M65" s="45">
        <v>46061</v>
      </c>
      <c r="N65" s="44">
        <v>46061</v>
      </c>
      <c r="O65" s="20"/>
      <c r="P65" s="20"/>
      <c r="Q65" t="s">
        <v>153</v>
      </c>
    </row>
    <row r="66" spans="1:17" ht="15.75" customHeight="1">
      <c r="A66" s="20" t="s">
        <v>154</v>
      </c>
      <c r="B66" s="21" t="s">
        <v>19</v>
      </c>
      <c r="C66" s="21" t="s">
        <v>11</v>
      </c>
      <c r="D66" s="21" t="s">
        <v>15</v>
      </c>
      <c r="E66" s="21" t="s">
        <v>33</v>
      </c>
      <c r="F66" s="21" t="s">
        <v>30</v>
      </c>
      <c r="G66" s="21" t="s">
        <v>31</v>
      </c>
      <c r="H66" s="21" t="s">
        <v>28</v>
      </c>
      <c r="I66" s="19">
        <v>64400</v>
      </c>
      <c r="J66" s="22">
        <v>1</v>
      </c>
      <c r="K66" s="19">
        <f t="shared" si="0"/>
        <v>64400</v>
      </c>
      <c r="L66" s="44"/>
      <c r="M66" s="45">
        <v>46062</v>
      </c>
      <c r="N66" s="44">
        <v>46062</v>
      </c>
      <c r="O66" s="20"/>
      <c r="P66" s="20"/>
      <c r="Q66" t="s">
        <v>155</v>
      </c>
    </row>
    <row r="67" spans="1:17" ht="15.75" customHeight="1">
      <c r="A67" s="20" t="s">
        <v>156</v>
      </c>
      <c r="B67" s="21" t="s">
        <v>19</v>
      </c>
      <c r="C67" s="21" t="s">
        <v>11</v>
      </c>
      <c r="D67" s="21" t="s">
        <v>12</v>
      </c>
      <c r="E67" s="21" t="s">
        <v>33</v>
      </c>
      <c r="F67" s="21" t="s">
        <v>30</v>
      </c>
      <c r="G67" s="21" t="s">
        <v>35</v>
      </c>
      <c r="H67" s="21" t="s">
        <v>38</v>
      </c>
      <c r="I67" s="19">
        <v>368550</v>
      </c>
      <c r="J67" s="22">
        <v>1</v>
      </c>
      <c r="K67" s="19">
        <f t="shared" si="0"/>
        <v>368550</v>
      </c>
      <c r="L67" s="44"/>
      <c r="M67" s="45">
        <v>46063</v>
      </c>
      <c r="N67" s="44">
        <v>46063</v>
      </c>
      <c r="O67" s="20"/>
      <c r="P67" s="20"/>
      <c r="Q67" t="s">
        <v>157</v>
      </c>
    </row>
    <row r="68" spans="1:17" ht="15.75" customHeight="1">
      <c r="A68" s="20" t="s">
        <v>128</v>
      </c>
      <c r="B68" s="21" t="s">
        <v>19</v>
      </c>
      <c r="C68" s="21" t="s">
        <v>11</v>
      </c>
      <c r="D68" s="21" t="s">
        <v>12</v>
      </c>
      <c r="E68" s="21" t="s">
        <v>33</v>
      </c>
      <c r="F68" s="21" t="s">
        <v>30</v>
      </c>
      <c r="G68" s="21" t="s">
        <v>35</v>
      </c>
      <c r="H68" s="21" t="s">
        <v>36</v>
      </c>
      <c r="I68" s="19">
        <v>105345</v>
      </c>
      <c r="J68" s="22">
        <v>1</v>
      </c>
      <c r="K68" s="19">
        <f t="shared" si="0"/>
        <v>105345</v>
      </c>
      <c r="L68" s="44"/>
      <c r="M68" s="45">
        <v>46064</v>
      </c>
      <c r="N68" s="44">
        <v>46064</v>
      </c>
      <c r="O68" s="20"/>
      <c r="P68" s="20"/>
      <c r="Q68" t="s">
        <v>158</v>
      </c>
    </row>
    <row r="69" spans="1:17" ht="15.75" customHeight="1">
      <c r="A69" s="20" t="s">
        <v>159</v>
      </c>
      <c r="B69" s="21" t="s">
        <v>19</v>
      </c>
      <c r="C69" s="21" t="s">
        <v>11</v>
      </c>
      <c r="D69" s="21" t="s">
        <v>15</v>
      </c>
      <c r="E69" s="21" t="s">
        <v>25</v>
      </c>
      <c r="F69" s="21" t="s">
        <v>30</v>
      </c>
      <c r="G69" s="21" t="s">
        <v>35</v>
      </c>
      <c r="H69" s="21" t="s">
        <v>38</v>
      </c>
      <c r="I69" s="19">
        <v>59628</v>
      </c>
      <c r="J69" s="22">
        <v>1</v>
      </c>
      <c r="K69" s="19">
        <f t="shared" si="0"/>
        <v>59628</v>
      </c>
      <c r="L69" s="44"/>
      <c r="M69" s="45">
        <v>46065</v>
      </c>
      <c r="N69" s="44">
        <v>46065</v>
      </c>
      <c r="O69" s="20"/>
      <c r="P69" s="20"/>
      <c r="Q69" t="s">
        <v>160</v>
      </c>
    </row>
    <row r="70" spans="1:17" ht="15.75" customHeight="1">
      <c r="A70" s="20" t="s">
        <v>130</v>
      </c>
      <c r="B70" s="21" t="s">
        <v>19</v>
      </c>
      <c r="C70" s="21" t="s">
        <v>11</v>
      </c>
      <c r="D70" s="21" t="s">
        <v>12</v>
      </c>
      <c r="E70" s="21" t="s">
        <v>29</v>
      </c>
      <c r="F70" s="21" t="s">
        <v>30</v>
      </c>
      <c r="G70" s="21" t="s">
        <v>35</v>
      </c>
      <c r="H70" s="21" t="s">
        <v>38</v>
      </c>
      <c r="I70" s="19">
        <v>611756</v>
      </c>
      <c r="J70" s="22">
        <v>1</v>
      </c>
      <c r="K70" s="19">
        <f t="shared" si="0"/>
        <v>611756</v>
      </c>
      <c r="L70" s="44"/>
      <c r="M70" s="45">
        <v>46066</v>
      </c>
      <c r="N70" s="44">
        <v>46066</v>
      </c>
      <c r="O70" s="20"/>
      <c r="P70" s="20"/>
      <c r="Q70" t="s">
        <v>161</v>
      </c>
    </row>
    <row r="71" spans="1:17" ht="15.75" customHeight="1">
      <c r="A71" s="20" t="s">
        <v>138</v>
      </c>
      <c r="B71" s="21" t="s">
        <v>19</v>
      </c>
      <c r="C71" s="21" t="s">
        <v>11</v>
      </c>
      <c r="D71" s="21" t="s">
        <v>8</v>
      </c>
      <c r="E71" s="21" t="s">
        <v>33</v>
      </c>
      <c r="F71" s="21" t="s">
        <v>30</v>
      </c>
      <c r="G71" s="21" t="s">
        <v>35</v>
      </c>
      <c r="H71" s="21" t="s">
        <v>38</v>
      </c>
      <c r="I71" s="19">
        <v>3224750</v>
      </c>
      <c r="J71" s="22">
        <v>1</v>
      </c>
      <c r="K71" s="19">
        <f t="shared" si="0"/>
        <v>3224750</v>
      </c>
      <c r="L71" s="44"/>
      <c r="M71" s="45">
        <v>46067</v>
      </c>
      <c r="N71" s="44">
        <v>46067</v>
      </c>
      <c r="O71" s="20"/>
      <c r="P71" s="20"/>
      <c r="Q71" t="s">
        <v>162</v>
      </c>
    </row>
    <row r="72" spans="1:17" ht="15.75" customHeight="1">
      <c r="A72" s="20" t="s">
        <v>163</v>
      </c>
      <c r="B72" s="21" t="s">
        <v>19</v>
      </c>
      <c r="C72" s="21" t="s">
        <v>11</v>
      </c>
      <c r="D72" s="21" t="s">
        <v>8</v>
      </c>
      <c r="E72" s="21" t="s">
        <v>33</v>
      </c>
      <c r="F72" s="21" t="s">
        <v>30</v>
      </c>
      <c r="G72" s="21" t="s">
        <v>35</v>
      </c>
      <c r="H72" s="21" t="s">
        <v>38</v>
      </c>
      <c r="I72" s="19">
        <v>1096805</v>
      </c>
      <c r="J72" s="22">
        <v>1</v>
      </c>
      <c r="K72" s="19">
        <f t="shared" si="0"/>
        <v>1096805</v>
      </c>
      <c r="L72" s="44"/>
      <c r="M72" s="45">
        <v>46068</v>
      </c>
      <c r="N72" s="44">
        <v>46068</v>
      </c>
      <c r="O72" s="20"/>
      <c r="P72" s="20"/>
      <c r="Q72" t="s">
        <v>164</v>
      </c>
    </row>
    <row r="73" spans="1:17" ht="15.75" customHeight="1">
      <c r="A73" s="20" t="s">
        <v>165</v>
      </c>
      <c r="B73" s="21" t="s">
        <v>19</v>
      </c>
      <c r="C73" s="21" t="s">
        <v>11</v>
      </c>
      <c r="D73" s="21" t="s">
        <v>12</v>
      </c>
      <c r="E73" s="21" t="s">
        <v>33</v>
      </c>
      <c r="F73" s="21" t="s">
        <v>34</v>
      </c>
      <c r="G73" s="21" t="s">
        <v>35</v>
      </c>
      <c r="H73" s="21" t="s">
        <v>36</v>
      </c>
      <c r="I73" s="19">
        <v>3170</v>
      </c>
      <c r="J73" s="22">
        <v>1</v>
      </c>
      <c r="K73" s="19">
        <f t="shared" si="0"/>
        <v>3170</v>
      </c>
      <c r="L73" s="44"/>
      <c r="M73" s="45">
        <v>46069</v>
      </c>
      <c r="N73" s="44">
        <v>46069</v>
      </c>
      <c r="O73" s="20"/>
      <c r="P73" s="20"/>
      <c r="Q73" t="s">
        <v>166</v>
      </c>
    </row>
    <row r="74" spans="1:17" ht="15.75" customHeight="1">
      <c r="A74" s="20" t="s">
        <v>167</v>
      </c>
      <c r="B74" s="21" t="s">
        <v>19</v>
      </c>
      <c r="C74" s="21" t="s">
        <v>11</v>
      </c>
      <c r="D74" s="21" t="s">
        <v>8</v>
      </c>
      <c r="E74" s="21" t="s">
        <v>33</v>
      </c>
      <c r="F74" s="21" t="s">
        <v>30</v>
      </c>
      <c r="G74" s="21" t="s">
        <v>35</v>
      </c>
      <c r="H74" s="21" t="s">
        <v>38</v>
      </c>
      <c r="I74" s="19">
        <v>1119532</v>
      </c>
      <c r="J74" s="22">
        <v>1</v>
      </c>
      <c r="K74" s="19">
        <f t="shared" ref="K74:K105" si="1">IF(I74="",0,I74*J74)</f>
        <v>1119532</v>
      </c>
      <c r="L74" s="44"/>
      <c r="M74" s="45">
        <v>46070</v>
      </c>
      <c r="N74" s="44">
        <v>46070</v>
      </c>
      <c r="O74" s="20"/>
      <c r="P74" s="20"/>
      <c r="Q74" t="s">
        <v>168</v>
      </c>
    </row>
    <row r="75" spans="1:17" ht="15.75" customHeight="1">
      <c r="A75" s="20" t="s">
        <v>169</v>
      </c>
      <c r="B75" s="21" t="s">
        <v>19</v>
      </c>
      <c r="C75" s="21" t="s">
        <v>7</v>
      </c>
      <c r="D75" s="21" t="s">
        <v>15</v>
      </c>
      <c r="E75" s="21" t="s">
        <v>25</v>
      </c>
      <c r="F75" s="21" t="s">
        <v>30</v>
      </c>
      <c r="G75" s="21" t="s">
        <v>31</v>
      </c>
      <c r="H75" s="21" t="s">
        <v>32</v>
      </c>
      <c r="I75" s="19">
        <v>35000</v>
      </c>
      <c r="J75" s="22">
        <v>1</v>
      </c>
      <c r="K75" s="19">
        <f t="shared" si="1"/>
        <v>35000</v>
      </c>
      <c r="L75" s="44"/>
      <c r="M75" s="45">
        <v>46082</v>
      </c>
      <c r="N75" s="44">
        <v>46082</v>
      </c>
      <c r="O75" s="20"/>
      <c r="P75" s="20"/>
      <c r="Q75" t="s">
        <v>170</v>
      </c>
    </row>
    <row r="76" spans="1:17" ht="15.75" customHeight="1">
      <c r="A76" s="20" t="s">
        <v>108</v>
      </c>
      <c r="B76" s="21" t="s">
        <v>19</v>
      </c>
      <c r="C76" s="21" t="s">
        <v>7</v>
      </c>
      <c r="D76" s="21" t="s">
        <v>12</v>
      </c>
      <c r="E76" s="21" t="s">
        <v>33</v>
      </c>
      <c r="F76" s="21" t="s">
        <v>30</v>
      </c>
      <c r="G76" s="21" t="s">
        <v>31</v>
      </c>
      <c r="H76" s="21" t="s">
        <v>38</v>
      </c>
      <c r="I76" s="19">
        <v>172718</v>
      </c>
      <c r="J76" s="22">
        <v>1</v>
      </c>
      <c r="K76" s="19">
        <f t="shared" si="1"/>
        <v>172718</v>
      </c>
      <c r="L76" s="44"/>
      <c r="M76" s="45">
        <v>46083</v>
      </c>
      <c r="N76" s="44">
        <v>46083</v>
      </c>
      <c r="O76" s="20"/>
      <c r="P76" s="20"/>
      <c r="Q76" t="s">
        <v>171</v>
      </c>
    </row>
    <row r="77" spans="1:17" ht="15.75" customHeight="1">
      <c r="A77" s="20" t="s">
        <v>141</v>
      </c>
      <c r="B77" s="21" t="s">
        <v>19</v>
      </c>
      <c r="C77" s="21" t="s">
        <v>7</v>
      </c>
      <c r="D77" s="21" t="s">
        <v>15</v>
      </c>
      <c r="E77" s="21" t="s">
        <v>25</v>
      </c>
      <c r="F77" s="21" t="s">
        <v>30</v>
      </c>
      <c r="G77" s="21" t="s">
        <v>31</v>
      </c>
      <c r="H77" s="21" t="s">
        <v>38</v>
      </c>
      <c r="I77" s="19">
        <v>30280</v>
      </c>
      <c r="J77" s="22">
        <v>1</v>
      </c>
      <c r="K77" s="19">
        <f t="shared" si="1"/>
        <v>30280</v>
      </c>
      <c r="L77" s="44"/>
      <c r="M77" s="45">
        <v>46084</v>
      </c>
      <c r="N77" s="44">
        <v>46084</v>
      </c>
      <c r="O77" s="20"/>
      <c r="P77" s="20"/>
      <c r="Q77" t="s">
        <v>172</v>
      </c>
    </row>
    <row r="78" spans="1:17" ht="15.75" customHeight="1">
      <c r="A78" s="20" t="s">
        <v>143</v>
      </c>
      <c r="B78" s="21" t="s">
        <v>19</v>
      </c>
      <c r="C78" s="21" t="s">
        <v>11</v>
      </c>
      <c r="D78" s="21" t="s">
        <v>15</v>
      </c>
      <c r="E78" s="21" t="s">
        <v>29</v>
      </c>
      <c r="F78" s="21" t="s">
        <v>30</v>
      </c>
      <c r="G78" s="21" t="s">
        <v>31</v>
      </c>
      <c r="H78" s="21" t="s">
        <v>28</v>
      </c>
      <c r="I78" s="19">
        <v>4300</v>
      </c>
      <c r="J78" s="22">
        <v>1</v>
      </c>
      <c r="K78" s="19">
        <f t="shared" si="1"/>
        <v>4300</v>
      </c>
      <c r="L78" s="44"/>
      <c r="M78" s="45">
        <v>46085</v>
      </c>
      <c r="N78" s="44">
        <v>46085</v>
      </c>
      <c r="O78" s="20"/>
      <c r="P78" s="20"/>
      <c r="Q78" t="s">
        <v>173</v>
      </c>
    </row>
    <row r="79" spans="1:17" ht="15.75" customHeight="1">
      <c r="A79" s="20" t="s">
        <v>174</v>
      </c>
      <c r="B79" s="21" t="s">
        <v>19</v>
      </c>
      <c r="C79" s="21" t="s">
        <v>11</v>
      </c>
      <c r="D79" s="21" t="s">
        <v>15</v>
      </c>
      <c r="E79" s="21"/>
      <c r="F79" s="21" t="s">
        <v>30</v>
      </c>
      <c r="G79" s="21" t="s">
        <v>31</v>
      </c>
      <c r="H79" s="21" t="s">
        <v>28</v>
      </c>
      <c r="I79" s="19">
        <v>9486</v>
      </c>
      <c r="J79" s="22">
        <v>1</v>
      </c>
      <c r="K79" s="19">
        <f t="shared" si="1"/>
        <v>9486</v>
      </c>
      <c r="L79" s="44"/>
      <c r="M79" s="45">
        <v>46086</v>
      </c>
      <c r="N79" s="44">
        <v>46086</v>
      </c>
      <c r="O79" s="20"/>
      <c r="P79" s="20"/>
      <c r="Q79" t="s">
        <v>175</v>
      </c>
    </row>
    <row r="80" spans="1:17" ht="15.75" customHeight="1">
      <c r="A80" s="20" t="s">
        <v>112</v>
      </c>
      <c r="B80" s="21" t="s">
        <v>19</v>
      </c>
      <c r="C80" s="21" t="s">
        <v>11</v>
      </c>
      <c r="D80" s="21" t="s">
        <v>8</v>
      </c>
      <c r="E80" s="21" t="s">
        <v>33</v>
      </c>
      <c r="F80" s="21" t="s">
        <v>30</v>
      </c>
      <c r="G80" s="21" t="s">
        <v>31</v>
      </c>
      <c r="H80" s="21" t="s">
        <v>36</v>
      </c>
      <c r="I80" s="19">
        <v>681907</v>
      </c>
      <c r="J80" s="22">
        <v>1</v>
      </c>
      <c r="K80" s="19">
        <f t="shared" si="1"/>
        <v>681907</v>
      </c>
      <c r="L80" s="44"/>
      <c r="M80" s="45">
        <v>46087</v>
      </c>
      <c r="N80" s="44">
        <v>46087</v>
      </c>
      <c r="O80" s="20"/>
      <c r="P80" s="20"/>
      <c r="Q80" t="s">
        <v>176</v>
      </c>
    </row>
    <row r="81" spans="1:17" ht="15.75" customHeight="1">
      <c r="A81" s="20" t="s">
        <v>118</v>
      </c>
      <c r="B81" s="21" t="s">
        <v>19</v>
      </c>
      <c r="C81" s="21" t="s">
        <v>11</v>
      </c>
      <c r="D81" s="21" t="s">
        <v>15</v>
      </c>
      <c r="E81" s="21" t="s">
        <v>29</v>
      </c>
      <c r="F81" s="21" t="s">
        <v>30</v>
      </c>
      <c r="G81" s="21" t="s">
        <v>31</v>
      </c>
      <c r="H81" s="21" t="s">
        <v>28</v>
      </c>
      <c r="I81" s="19">
        <v>3645</v>
      </c>
      <c r="J81" s="22">
        <v>1</v>
      </c>
      <c r="K81" s="19">
        <f t="shared" si="1"/>
        <v>3645</v>
      </c>
      <c r="L81" s="44"/>
      <c r="M81" s="45">
        <v>46088</v>
      </c>
      <c r="N81" s="44">
        <v>46088</v>
      </c>
      <c r="O81" s="20"/>
      <c r="P81" s="20"/>
      <c r="Q81" t="s">
        <v>177</v>
      </c>
    </row>
    <row r="82" spans="1:17" ht="15.75" customHeight="1">
      <c r="A82" s="20" t="s">
        <v>178</v>
      </c>
      <c r="B82" s="21" t="s">
        <v>19</v>
      </c>
      <c r="C82" s="21" t="s">
        <v>11</v>
      </c>
      <c r="D82" s="21" t="s">
        <v>15</v>
      </c>
      <c r="E82" s="21" t="s">
        <v>29</v>
      </c>
      <c r="F82" s="21" t="s">
        <v>34</v>
      </c>
      <c r="G82" s="21" t="s">
        <v>35</v>
      </c>
      <c r="H82" s="21" t="s">
        <v>28</v>
      </c>
      <c r="I82" s="19">
        <v>23034</v>
      </c>
      <c r="J82" s="22">
        <v>1</v>
      </c>
      <c r="K82" s="19">
        <f t="shared" si="1"/>
        <v>23034</v>
      </c>
      <c r="L82" s="44"/>
      <c r="M82" s="45">
        <v>46089</v>
      </c>
      <c r="N82" s="44">
        <v>46089</v>
      </c>
      <c r="O82" s="20"/>
      <c r="P82" s="20"/>
      <c r="Q82" t="s">
        <v>179</v>
      </c>
    </row>
    <row r="83" spans="1:17" ht="15.75" customHeight="1">
      <c r="A83" s="20" t="s">
        <v>180</v>
      </c>
      <c r="B83" s="21" t="s">
        <v>19</v>
      </c>
      <c r="C83" s="21" t="s">
        <v>11</v>
      </c>
      <c r="D83" s="21" t="s">
        <v>15</v>
      </c>
      <c r="E83" s="21" t="s">
        <v>25</v>
      </c>
      <c r="F83" s="21" t="s">
        <v>30</v>
      </c>
      <c r="G83" s="21" t="s">
        <v>35</v>
      </c>
      <c r="H83" s="21" t="s">
        <v>28</v>
      </c>
      <c r="I83" s="19">
        <v>18995</v>
      </c>
      <c r="J83" s="22">
        <v>1</v>
      </c>
      <c r="K83" s="19">
        <f t="shared" si="1"/>
        <v>18995</v>
      </c>
      <c r="L83" s="44"/>
      <c r="M83" s="45">
        <v>46090</v>
      </c>
      <c r="N83" s="44">
        <v>46090</v>
      </c>
      <c r="O83" s="20"/>
      <c r="P83" s="20"/>
      <c r="Q83" t="s">
        <v>181</v>
      </c>
    </row>
    <row r="84" spans="1:17" ht="15.75" customHeight="1">
      <c r="A84" s="20" t="s">
        <v>152</v>
      </c>
      <c r="B84" s="21" t="s">
        <v>19</v>
      </c>
      <c r="C84" s="21" t="s">
        <v>11</v>
      </c>
      <c r="D84" s="21" t="s">
        <v>15</v>
      </c>
      <c r="E84" s="21" t="s">
        <v>29</v>
      </c>
      <c r="F84" s="21" t="s">
        <v>30</v>
      </c>
      <c r="G84" s="21" t="s">
        <v>35</v>
      </c>
      <c r="H84" s="21" t="s">
        <v>28</v>
      </c>
      <c r="I84" s="19">
        <v>40033</v>
      </c>
      <c r="J84" s="22">
        <v>1</v>
      </c>
      <c r="K84" s="19">
        <f t="shared" si="1"/>
        <v>40033</v>
      </c>
      <c r="L84" s="44"/>
      <c r="M84" s="45">
        <v>46091</v>
      </c>
      <c r="N84" s="44">
        <v>46091</v>
      </c>
      <c r="O84" s="20"/>
      <c r="P84" s="20"/>
      <c r="Q84" t="s">
        <v>182</v>
      </c>
    </row>
    <row r="85" spans="1:17" ht="15.75" customHeight="1">
      <c r="A85" s="20" t="s">
        <v>183</v>
      </c>
      <c r="B85" s="21" t="s">
        <v>19</v>
      </c>
      <c r="C85" s="21" t="s">
        <v>11</v>
      </c>
      <c r="D85" s="21" t="s">
        <v>15</v>
      </c>
      <c r="E85" s="21" t="s">
        <v>25</v>
      </c>
      <c r="F85" s="21" t="s">
        <v>30</v>
      </c>
      <c r="G85" s="21" t="s">
        <v>31</v>
      </c>
      <c r="H85" s="21" t="s">
        <v>36</v>
      </c>
      <c r="I85" s="19">
        <v>3500</v>
      </c>
      <c r="J85" s="22">
        <v>1</v>
      </c>
      <c r="K85" s="19">
        <f t="shared" si="1"/>
        <v>3500</v>
      </c>
      <c r="L85" s="44"/>
      <c r="M85" s="45">
        <v>46092</v>
      </c>
      <c r="N85" s="44">
        <v>46092</v>
      </c>
      <c r="O85" s="20"/>
      <c r="P85" s="20"/>
      <c r="Q85" t="s">
        <v>184</v>
      </c>
    </row>
    <row r="86" spans="1:17" ht="15.75" customHeight="1">
      <c r="A86" s="20" t="s">
        <v>126</v>
      </c>
      <c r="B86" s="21" t="s">
        <v>19</v>
      </c>
      <c r="C86" s="21" t="s">
        <v>11</v>
      </c>
      <c r="D86" s="21" t="s">
        <v>12</v>
      </c>
      <c r="E86" s="21" t="s">
        <v>33</v>
      </c>
      <c r="F86" s="21" t="s">
        <v>30</v>
      </c>
      <c r="G86" s="21" t="s">
        <v>35</v>
      </c>
      <c r="H86" s="21" t="s">
        <v>36</v>
      </c>
      <c r="I86" s="19">
        <v>10002</v>
      </c>
      <c r="J86" s="22">
        <v>1</v>
      </c>
      <c r="K86" s="19">
        <f t="shared" si="1"/>
        <v>10002</v>
      </c>
      <c r="L86" s="44"/>
      <c r="M86" s="45">
        <v>46093</v>
      </c>
      <c r="N86" s="44">
        <v>46093</v>
      </c>
      <c r="O86" s="20"/>
      <c r="P86" s="20"/>
      <c r="Q86" t="s">
        <v>185</v>
      </c>
    </row>
    <row r="87" spans="1:17" ht="15.75" customHeight="1">
      <c r="A87" s="20" t="s">
        <v>128</v>
      </c>
      <c r="B87" s="21" t="s">
        <v>19</v>
      </c>
      <c r="C87" s="21" t="s">
        <v>11</v>
      </c>
      <c r="D87" s="21" t="s">
        <v>12</v>
      </c>
      <c r="E87" s="21" t="s">
        <v>33</v>
      </c>
      <c r="F87" s="21" t="s">
        <v>30</v>
      </c>
      <c r="G87" s="21" t="s">
        <v>35</v>
      </c>
      <c r="H87" s="21" t="s">
        <v>36</v>
      </c>
      <c r="I87" s="19">
        <v>540086</v>
      </c>
      <c r="J87" s="22">
        <v>1</v>
      </c>
      <c r="K87" s="19">
        <f t="shared" si="1"/>
        <v>540086</v>
      </c>
      <c r="L87" s="44"/>
      <c r="M87" s="45">
        <v>46094</v>
      </c>
      <c r="N87" s="44">
        <v>46094</v>
      </c>
      <c r="O87" s="20"/>
      <c r="P87" s="20"/>
      <c r="Q87" t="s">
        <v>186</v>
      </c>
    </row>
    <row r="88" spans="1:17" ht="15.75" customHeight="1">
      <c r="A88" s="20" t="s">
        <v>130</v>
      </c>
      <c r="B88" s="21" t="s">
        <v>19</v>
      </c>
      <c r="C88" s="21" t="s">
        <v>11</v>
      </c>
      <c r="D88" s="21" t="s">
        <v>8</v>
      </c>
      <c r="E88" s="21" t="s">
        <v>29</v>
      </c>
      <c r="F88" s="21" t="s">
        <v>30</v>
      </c>
      <c r="G88" s="21" t="s">
        <v>35</v>
      </c>
      <c r="H88" s="21" t="s">
        <v>38</v>
      </c>
      <c r="I88" s="19">
        <v>820800</v>
      </c>
      <c r="J88" s="22">
        <v>1</v>
      </c>
      <c r="K88" s="19">
        <f t="shared" si="1"/>
        <v>820800</v>
      </c>
      <c r="L88" s="44"/>
      <c r="M88" s="45">
        <v>46095</v>
      </c>
      <c r="N88" s="44">
        <v>46095</v>
      </c>
      <c r="O88" s="20"/>
      <c r="P88" s="20"/>
      <c r="Q88" t="s">
        <v>187</v>
      </c>
    </row>
    <row r="89" spans="1:17" ht="15.75" customHeight="1">
      <c r="A89" s="20" t="s">
        <v>188</v>
      </c>
      <c r="B89" s="21" t="s">
        <v>19</v>
      </c>
      <c r="C89" s="21" t="s">
        <v>11</v>
      </c>
      <c r="D89" s="21" t="s">
        <v>12</v>
      </c>
      <c r="E89" s="21" t="s">
        <v>33</v>
      </c>
      <c r="F89" s="21" t="s">
        <v>30</v>
      </c>
      <c r="G89" s="21" t="s">
        <v>35</v>
      </c>
      <c r="H89" s="21" t="s">
        <v>36</v>
      </c>
      <c r="I89" s="19">
        <v>141400</v>
      </c>
      <c r="J89" s="22">
        <v>1</v>
      </c>
      <c r="K89" s="19">
        <f t="shared" si="1"/>
        <v>141400</v>
      </c>
      <c r="L89" s="44"/>
      <c r="M89" s="45">
        <v>46096</v>
      </c>
      <c r="N89" s="44">
        <v>46096</v>
      </c>
      <c r="O89" s="20"/>
      <c r="P89" s="20"/>
      <c r="Q89" t="s">
        <v>189</v>
      </c>
    </row>
    <row r="90" spans="1:17" ht="15.75" customHeight="1">
      <c r="A90" s="20" t="s">
        <v>138</v>
      </c>
      <c r="B90" s="21" t="s">
        <v>19</v>
      </c>
      <c r="C90" s="21" t="s">
        <v>11</v>
      </c>
      <c r="D90" s="21" t="s">
        <v>15</v>
      </c>
      <c r="E90" s="21" t="s">
        <v>29</v>
      </c>
      <c r="F90" s="21" t="s">
        <v>30</v>
      </c>
      <c r="G90" s="21" t="s">
        <v>35</v>
      </c>
      <c r="H90" s="21" t="s">
        <v>28</v>
      </c>
      <c r="I90" s="19">
        <v>7800</v>
      </c>
      <c r="J90" s="22">
        <v>1</v>
      </c>
      <c r="K90" s="19">
        <f t="shared" si="1"/>
        <v>7800</v>
      </c>
      <c r="L90" s="44"/>
      <c r="M90" s="45">
        <v>46097</v>
      </c>
      <c r="N90" s="44">
        <v>46097</v>
      </c>
      <c r="O90" s="20"/>
      <c r="P90" s="20"/>
      <c r="Q90" t="s">
        <v>190</v>
      </c>
    </row>
    <row r="91" spans="1:17" ht="15.75" customHeight="1">
      <c r="A91" s="20" t="s">
        <v>191</v>
      </c>
      <c r="B91" s="21" t="s">
        <v>19</v>
      </c>
      <c r="C91" s="21" t="s">
        <v>11</v>
      </c>
      <c r="D91" s="21" t="s">
        <v>15</v>
      </c>
      <c r="E91" s="21" t="s">
        <v>29</v>
      </c>
      <c r="F91" s="21" t="s">
        <v>30</v>
      </c>
      <c r="G91" s="21" t="s">
        <v>31</v>
      </c>
      <c r="H91" s="21" t="s">
        <v>28</v>
      </c>
      <c r="I91" s="19">
        <v>47606</v>
      </c>
      <c r="J91" s="22">
        <v>1</v>
      </c>
      <c r="K91" s="19">
        <f t="shared" si="1"/>
        <v>47606</v>
      </c>
      <c r="L91" s="44"/>
      <c r="M91" s="45">
        <v>46098</v>
      </c>
      <c r="N91" s="44">
        <v>46098</v>
      </c>
      <c r="O91" s="20"/>
      <c r="P91" s="20"/>
      <c r="Q91" t="s">
        <v>192</v>
      </c>
    </row>
    <row r="92" spans="1:17" ht="15.75" customHeight="1">
      <c r="A92" s="20" t="s">
        <v>163</v>
      </c>
      <c r="B92" s="21" t="s">
        <v>19</v>
      </c>
      <c r="C92" s="21" t="s">
        <v>11</v>
      </c>
      <c r="D92" s="21" t="s">
        <v>8</v>
      </c>
      <c r="E92" s="21" t="s">
        <v>29</v>
      </c>
      <c r="F92" s="21" t="s">
        <v>30</v>
      </c>
      <c r="G92" s="21" t="s">
        <v>35</v>
      </c>
      <c r="H92" s="21" t="s">
        <v>38</v>
      </c>
      <c r="I92" s="19">
        <v>641696</v>
      </c>
      <c r="J92" s="22">
        <v>1</v>
      </c>
      <c r="K92" s="19">
        <f t="shared" si="1"/>
        <v>641696</v>
      </c>
      <c r="L92" s="44"/>
      <c r="M92" s="45">
        <v>46099</v>
      </c>
      <c r="N92" s="44">
        <v>46099</v>
      </c>
      <c r="O92" s="20"/>
      <c r="P92" s="20"/>
      <c r="Q92" t="s">
        <v>193</v>
      </c>
    </row>
    <row r="93" spans="1:17" ht="15.75" customHeight="1">
      <c r="A93" s="20" t="s">
        <v>136</v>
      </c>
      <c r="B93" s="21" t="s">
        <v>19</v>
      </c>
      <c r="C93" s="21" t="s">
        <v>11</v>
      </c>
      <c r="D93" s="21" t="s">
        <v>15</v>
      </c>
      <c r="E93" s="21" t="s">
        <v>29</v>
      </c>
      <c r="F93" s="21" t="s">
        <v>30</v>
      </c>
      <c r="G93" s="21" t="s">
        <v>35</v>
      </c>
      <c r="H93" s="21" t="s">
        <v>38</v>
      </c>
      <c r="I93" s="19">
        <v>4710</v>
      </c>
      <c r="J93" s="22">
        <v>1</v>
      </c>
      <c r="K93" s="19">
        <f t="shared" si="1"/>
        <v>4710</v>
      </c>
      <c r="L93" s="44"/>
      <c r="M93" s="45">
        <v>46100</v>
      </c>
      <c r="N93" s="44">
        <v>46100</v>
      </c>
      <c r="O93" s="20"/>
      <c r="P93" s="20"/>
      <c r="Q93" t="s">
        <v>194</v>
      </c>
    </row>
    <row r="94" spans="1:17" ht="15.75" customHeight="1">
      <c r="A94" s="20" t="s">
        <v>195</v>
      </c>
      <c r="B94" s="21" t="s">
        <v>19</v>
      </c>
      <c r="C94" s="21" t="s">
        <v>11</v>
      </c>
      <c r="D94" s="21" t="s">
        <v>12</v>
      </c>
      <c r="E94" s="21" t="s">
        <v>33</v>
      </c>
      <c r="F94" s="21" t="s">
        <v>34</v>
      </c>
      <c r="G94" s="21" t="s">
        <v>35</v>
      </c>
      <c r="H94" s="21" t="s">
        <v>38</v>
      </c>
      <c r="I94" s="19">
        <v>236200</v>
      </c>
      <c r="J94" s="22">
        <v>1</v>
      </c>
      <c r="K94" s="19">
        <f t="shared" si="1"/>
        <v>236200</v>
      </c>
      <c r="L94" s="44"/>
      <c r="M94" s="45">
        <v>46101</v>
      </c>
      <c r="N94" s="44">
        <v>46101</v>
      </c>
      <c r="O94" s="20"/>
      <c r="P94" s="20"/>
      <c r="Q94" t="s">
        <v>196</v>
      </c>
    </row>
    <row r="95" spans="1:17" ht="15.75" customHeight="1">
      <c r="A95" s="20" t="s">
        <v>197</v>
      </c>
      <c r="B95" s="21" t="s">
        <v>19</v>
      </c>
      <c r="C95" s="21" t="s">
        <v>11</v>
      </c>
      <c r="D95" s="21" t="s">
        <v>15</v>
      </c>
      <c r="E95" s="21" t="s">
        <v>25</v>
      </c>
      <c r="F95" s="21" t="s">
        <v>30</v>
      </c>
      <c r="G95" s="21" t="s">
        <v>31</v>
      </c>
      <c r="H95" s="21" t="s">
        <v>28</v>
      </c>
      <c r="I95" s="19">
        <v>8223</v>
      </c>
      <c r="J95" s="22">
        <v>1</v>
      </c>
      <c r="K95" s="19">
        <f t="shared" si="1"/>
        <v>8223</v>
      </c>
      <c r="L95" s="44"/>
      <c r="M95" s="45">
        <v>46113</v>
      </c>
      <c r="N95" s="44">
        <v>46113</v>
      </c>
      <c r="O95" s="20"/>
      <c r="P95" s="20"/>
      <c r="Q95" t="s">
        <v>198</v>
      </c>
    </row>
    <row r="96" spans="1:17" ht="15.75" customHeight="1">
      <c r="A96" s="20" t="s">
        <v>199</v>
      </c>
      <c r="B96" s="21" t="s">
        <v>19</v>
      </c>
      <c r="C96" s="21" t="s">
        <v>11</v>
      </c>
      <c r="D96" s="21" t="s">
        <v>8</v>
      </c>
      <c r="E96" s="21" t="s">
        <v>25</v>
      </c>
      <c r="F96" s="21" t="s">
        <v>30</v>
      </c>
      <c r="G96" s="21" t="s">
        <v>35</v>
      </c>
      <c r="H96" s="21" t="s">
        <v>38</v>
      </c>
      <c r="I96" s="19">
        <v>597280</v>
      </c>
      <c r="J96" s="22">
        <v>1</v>
      </c>
      <c r="K96" s="19">
        <f t="shared" si="1"/>
        <v>597280</v>
      </c>
      <c r="L96" s="44"/>
      <c r="M96" s="45">
        <v>46114</v>
      </c>
      <c r="N96" s="44">
        <v>46114</v>
      </c>
      <c r="O96" s="20"/>
      <c r="P96" s="20"/>
      <c r="Q96" t="s">
        <v>200</v>
      </c>
    </row>
    <row r="97" spans="1:17" ht="15.75" customHeight="1">
      <c r="A97" s="20" t="s">
        <v>112</v>
      </c>
      <c r="B97" s="21" t="s">
        <v>19</v>
      </c>
      <c r="C97" s="21" t="s">
        <v>11</v>
      </c>
      <c r="D97" s="21" t="s">
        <v>8</v>
      </c>
      <c r="E97" s="21" t="s">
        <v>33</v>
      </c>
      <c r="F97" s="21" t="s">
        <v>30</v>
      </c>
      <c r="G97" s="21" t="s">
        <v>35</v>
      </c>
      <c r="H97" s="21" t="s">
        <v>36</v>
      </c>
      <c r="I97" s="19">
        <v>720510</v>
      </c>
      <c r="J97" s="22">
        <v>1</v>
      </c>
      <c r="K97" s="19">
        <f t="shared" si="1"/>
        <v>720510</v>
      </c>
      <c r="L97" s="44"/>
      <c r="M97" s="45">
        <v>46115</v>
      </c>
      <c r="N97" s="44">
        <v>46115</v>
      </c>
      <c r="O97" s="20"/>
      <c r="P97" s="20"/>
      <c r="Q97" t="s">
        <v>201</v>
      </c>
    </row>
    <row r="98" spans="1:17" ht="15.75" customHeight="1">
      <c r="A98" s="20" t="s">
        <v>202</v>
      </c>
      <c r="B98" s="21" t="s">
        <v>19</v>
      </c>
      <c r="C98" s="21" t="s">
        <v>11</v>
      </c>
      <c r="D98" s="21" t="s">
        <v>15</v>
      </c>
      <c r="E98" s="21" t="s">
        <v>29</v>
      </c>
      <c r="F98" s="21" t="s">
        <v>30</v>
      </c>
      <c r="G98" s="21" t="s">
        <v>31</v>
      </c>
      <c r="H98" s="21" t="s">
        <v>28</v>
      </c>
      <c r="I98" s="19">
        <v>61678</v>
      </c>
      <c r="J98" s="22">
        <v>1</v>
      </c>
      <c r="K98" s="19">
        <f t="shared" si="1"/>
        <v>61678</v>
      </c>
      <c r="L98" s="44"/>
      <c r="M98" s="45">
        <v>46116</v>
      </c>
      <c r="N98" s="44">
        <v>46116</v>
      </c>
      <c r="O98" s="20"/>
      <c r="P98" s="20"/>
      <c r="Q98" t="s">
        <v>203</v>
      </c>
    </row>
    <row r="99" spans="1:17" ht="15.75" customHeight="1">
      <c r="A99" s="20" t="s">
        <v>180</v>
      </c>
      <c r="B99" s="21" t="s">
        <v>19</v>
      </c>
      <c r="C99" s="21" t="s">
        <v>11</v>
      </c>
      <c r="D99" s="21" t="s">
        <v>15</v>
      </c>
      <c r="E99" s="21" t="s">
        <v>29</v>
      </c>
      <c r="F99" s="21" t="s">
        <v>39</v>
      </c>
      <c r="G99" s="21" t="s">
        <v>35</v>
      </c>
      <c r="H99" s="21" t="s">
        <v>28</v>
      </c>
      <c r="I99" s="19">
        <v>16966</v>
      </c>
      <c r="J99" s="22">
        <v>1</v>
      </c>
      <c r="K99" s="19">
        <f t="shared" si="1"/>
        <v>16966</v>
      </c>
      <c r="L99" s="44"/>
      <c r="M99" s="45">
        <v>46117</v>
      </c>
      <c r="N99" s="44">
        <v>46117</v>
      </c>
      <c r="O99" s="20"/>
      <c r="P99" s="20"/>
      <c r="Q99" t="s">
        <v>204</v>
      </c>
    </row>
    <row r="100" spans="1:17" ht="15.75" customHeight="1">
      <c r="A100" s="20" t="s">
        <v>205</v>
      </c>
      <c r="B100" s="21" t="s">
        <v>19</v>
      </c>
      <c r="C100" s="21" t="s">
        <v>11</v>
      </c>
      <c r="D100" s="21" t="s">
        <v>15</v>
      </c>
      <c r="E100" s="21" t="s">
        <v>25</v>
      </c>
      <c r="F100" s="21" t="s">
        <v>30</v>
      </c>
      <c r="G100" s="21" t="s">
        <v>35</v>
      </c>
      <c r="H100" s="21" t="s">
        <v>28</v>
      </c>
      <c r="I100" s="19">
        <v>28040</v>
      </c>
      <c r="J100" s="22">
        <v>1</v>
      </c>
      <c r="K100" s="19">
        <f t="shared" si="1"/>
        <v>28040</v>
      </c>
      <c r="L100" s="44"/>
      <c r="M100" s="45">
        <v>46118</v>
      </c>
      <c r="N100" s="44">
        <v>46118</v>
      </c>
      <c r="O100" s="20"/>
      <c r="P100" s="20"/>
      <c r="Q100" t="s">
        <v>206</v>
      </c>
    </row>
    <row r="101" spans="1:17" ht="15.75" customHeight="1">
      <c r="A101" s="20" t="s">
        <v>126</v>
      </c>
      <c r="B101" s="21" t="s">
        <v>19</v>
      </c>
      <c r="C101" s="21" t="s">
        <v>11</v>
      </c>
      <c r="D101" s="21" t="s">
        <v>12</v>
      </c>
      <c r="E101" s="21" t="s">
        <v>33</v>
      </c>
      <c r="F101" s="21" t="s">
        <v>30</v>
      </c>
      <c r="G101" s="21" t="s">
        <v>35</v>
      </c>
      <c r="H101" s="21" t="s">
        <v>36</v>
      </c>
      <c r="I101" s="19">
        <v>222615</v>
      </c>
      <c r="J101" s="22">
        <v>1</v>
      </c>
      <c r="K101" s="19">
        <f t="shared" si="1"/>
        <v>222615</v>
      </c>
      <c r="L101" s="44"/>
      <c r="M101" s="45">
        <v>46119</v>
      </c>
      <c r="N101" s="44">
        <v>46119</v>
      </c>
      <c r="O101" s="20"/>
      <c r="P101" s="20"/>
      <c r="Q101" t="s">
        <v>207</v>
      </c>
    </row>
    <row r="102" spans="1:17" ht="15.75" customHeight="1">
      <c r="A102" s="20" t="s">
        <v>208</v>
      </c>
      <c r="B102" s="21" t="s">
        <v>19</v>
      </c>
      <c r="C102" s="21" t="s">
        <v>11</v>
      </c>
      <c r="D102" s="21" t="s">
        <v>15</v>
      </c>
      <c r="E102" s="21" t="s">
        <v>29</v>
      </c>
      <c r="F102" s="21" t="s">
        <v>30</v>
      </c>
      <c r="G102" s="21" t="s">
        <v>31</v>
      </c>
      <c r="H102" s="21" t="s">
        <v>38</v>
      </c>
      <c r="I102" s="19">
        <v>2243</v>
      </c>
      <c r="J102" s="22">
        <v>1</v>
      </c>
      <c r="K102" s="19">
        <f t="shared" si="1"/>
        <v>2243</v>
      </c>
      <c r="L102" s="44"/>
      <c r="M102" s="45">
        <v>46120</v>
      </c>
      <c r="N102" s="44">
        <v>46120</v>
      </c>
      <c r="O102" s="20"/>
      <c r="P102" s="20"/>
      <c r="Q102" t="s">
        <v>209</v>
      </c>
    </row>
    <row r="103" spans="1:17" ht="15.75" customHeight="1">
      <c r="A103" s="20" t="s">
        <v>128</v>
      </c>
      <c r="B103" s="21" t="s">
        <v>19</v>
      </c>
      <c r="C103" s="21" t="s">
        <v>11</v>
      </c>
      <c r="D103" s="21" t="s">
        <v>8</v>
      </c>
      <c r="E103" s="21" t="s">
        <v>33</v>
      </c>
      <c r="F103" s="21" t="s">
        <v>30</v>
      </c>
      <c r="G103" s="21" t="s">
        <v>35</v>
      </c>
      <c r="H103" s="21" t="s">
        <v>36</v>
      </c>
      <c r="I103" s="19">
        <v>476016</v>
      </c>
      <c r="J103" s="22">
        <v>1</v>
      </c>
      <c r="K103" s="19">
        <f t="shared" si="1"/>
        <v>476016</v>
      </c>
      <c r="L103" s="44"/>
      <c r="M103" s="45">
        <v>46121</v>
      </c>
      <c r="N103" s="44">
        <v>46121</v>
      </c>
      <c r="O103" s="20"/>
      <c r="P103" s="20"/>
      <c r="Q103" t="s">
        <v>210</v>
      </c>
    </row>
    <row r="104" spans="1:17" ht="15.75" customHeight="1">
      <c r="A104" s="20" t="s">
        <v>211</v>
      </c>
      <c r="B104" s="21" t="s">
        <v>19</v>
      </c>
      <c r="C104" s="21" t="s">
        <v>11</v>
      </c>
      <c r="D104" s="21" t="s">
        <v>15</v>
      </c>
      <c r="E104" s="21" t="s">
        <v>33</v>
      </c>
      <c r="F104" s="21" t="s">
        <v>34</v>
      </c>
      <c r="G104" s="21" t="s">
        <v>35</v>
      </c>
      <c r="H104" s="21" t="s">
        <v>38</v>
      </c>
      <c r="I104" s="19">
        <v>19138</v>
      </c>
      <c r="J104" s="22">
        <v>1</v>
      </c>
      <c r="K104" s="19">
        <f t="shared" si="1"/>
        <v>19138</v>
      </c>
      <c r="L104" s="44"/>
      <c r="M104" s="45">
        <v>46122</v>
      </c>
      <c r="N104" s="44">
        <v>46122</v>
      </c>
      <c r="O104" s="20"/>
      <c r="P104" s="20"/>
      <c r="Q104" t="s">
        <v>212</v>
      </c>
    </row>
    <row r="105" spans="1:17" ht="15.75" customHeight="1">
      <c r="A105" s="20" t="s">
        <v>134</v>
      </c>
      <c r="B105" s="21" t="s">
        <v>19</v>
      </c>
      <c r="C105" s="21" t="s">
        <v>11</v>
      </c>
      <c r="D105" s="21" t="s">
        <v>12</v>
      </c>
      <c r="E105" s="21" t="s">
        <v>33</v>
      </c>
      <c r="F105" s="21" t="s">
        <v>34</v>
      </c>
      <c r="G105" s="21" t="s">
        <v>31</v>
      </c>
      <c r="H105" s="21" t="s">
        <v>28</v>
      </c>
      <c r="I105" s="19">
        <v>186000</v>
      </c>
      <c r="J105" s="22">
        <v>1</v>
      </c>
      <c r="K105" s="19">
        <f t="shared" si="1"/>
        <v>186000</v>
      </c>
      <c r="L105" s="44"/>
      <c r="M105" s="45">
        <v>46123</v>
      </c>
      <c r="N105" s="44">
        <v>46123</v>
      </c>
      <c r="O105" s="20"/>
      <c r="P105" s="20"/>
      <c r="Q105" t="s">
        <v>213</v>
      </c>
    </row>
    <row r="106" spans="1:17" ht="15.75" customHeight="1">
      <c r="A106" s="20" t="s">
        <v>214</v>
      </c>
      <c r="B106" s="21" t="s">
        <v>19</v>
      </c>
      <c r="C106" s="21" t="s">
        <v>11</v>
      </c>
      <c r="D106" s="21" t="s">
        <v>8</v>
      </c>
      <c r="E106" s="21" t="s">
        <v>33</v>
      </c>
      <c r="F106" s="21" t="s">
        <v>30</v>
      </c>
      <c r="G106" s="21" t="s">
        <v>35</v>
      </c>
      <c r="H106" s="21" t="s">
        <v>36</v>
      </c>
      <c r="I106" s="19">
        <v>2074000</v>
      </c>
      <c r="J106" s="22">
        <v>1</v>
      </c>
      <c r="K106" s="19">
        <f t="shared" ref="K106:K137" si="2">IF(I106="",0,I106*J106)</f>
        <v>2074000</v>
      </c>
      <c r="L106" s="44"/>
      <c r="M106" s="45">
        <v>46124</v>
      </c>
      <c r="N106" s="44">
        <v>46124</v>
      </c>
      <c r="O106" s="20"/>
      <c r="P106" s="20"/>
      <c r="Q106" t="s">
        <v>215</v>
      </c>
    </row>
    <row r="107" spans="1:17" ht="15.75" customHeight="1">
      <c r="A107" s="20" t="s">
        <v>195</v>
      </c>
      <c r="B107" s="21" t="s">
        <v>19</v>
      </c>
      <c r="C107" s="21" t="s">
        <v>11</v>
      </c>
      <c r="D107" s="21" t="s">
        <v>8</v>
      </c>
      <c r="E107" s="21" t="s">
        <v>33</v>
      </c>
      <c r="F107" s="21" t="s">
        <v>30</v>
      </c>
      <c r="G107" s="21" t="s">
        <v>35</v>
      </c>
      <c r="H107" s="21" t="s">
        <v>38</v>
      </c>
      <c r="I107" s="19">
        <v>536996</v>
      </c>
      <c r="J107" s="22">
        <v>1</v>
      </c>
      <c r="K107" s="19">
        <f t="shared" si="2"/>
        <v>536996</v>
      </c>
      <c r="L107" s="44"/>
      <c r="M107" s="45">
        <v>46125</v>
      </c>
      <c r="N107" s="44">
        <v>46125</v>
      </c>
      <c r="O107" s="20"/>
      <c r="P107" s="20"/>
      <c r="Q107" t="s">
        <v>216</v>
      </c>
    </row>
    <row r="108" spans="1:17" ht="15.75" customHeight="1">
      <c r="A108" s="20" t="s">
        <v>169</v>
      </c>
      <c r="B108" s="21" t="s">
        <v>19</v>
      </c>
      <c r="C108" s="21" t="s">
        <v>7</v>
      </c>
      <c r="D108" s="21" t="s">
        <v>15</v>
      </c>
      <c r="E108" s="21" t="s">
        <v>25</v>
      </c>
      <c r="F108" s="21" t="s">
        <v>30</v>
      </c>
      <c r="G108" s="21" t="s">
        <v>31</v>
      </c>
      <c r="H108" s="21" t="s">
        <v>38</v>
      </c>
      <c r="I108" s="19">
        <v>12160</v>
      </c>
      <c r="J108" s="22">
        <v>1</v>
      </c>
      <c r="K108" s="19">
        <f t="shared" si="2"/>
        <v>12160</v>
      </c>
      <c r="L108" s="44"/>
      <c r="M108" s="45">
        <v>46143</v>
      </c>
      <c r="N108" s="44">
        <v>46143</v>
      </c>
      <c r="O108" s="20"/>
      <c r="P108" s="20"/>
      <c r="Q108" t="s">
        <v>217</v>
      </c>
    </row>
    <row r="109" spans="1:17" ht="15.75" customHeight="1">
      <c r="A109" s="20" t="s">
        <v>197</v>
      </c>
      <c r="B109" s="21" t="s">
        <v>19</v>
      </c>
      <c r="C109" s="21" t="s">
        <v>11</v>
      </c>
      <c r="D109" s="21" t="s">
        <v>15</v>
      </c>
      <c r="E109" s="21" t="s">
        <v>25</v>
      </c>
      <c r="F109" s="21" t="s">
        <v>30</v>
      </c>
      <c r="G109" s="21" t="s">
        <v>31</v>
      </c>
      <c r="H109" s="21" t="s">
        <v>28</v>
      </c>
      <c r="I109" s="19">
        <v>6965</v>
      </c>
      <c r="J109" s="22">
        <v>1</v>
      </c>
      <c r="K109" s="19">
        <f t="shared" si="2"/>
        <v>6965</v>
      </c>
      <c r="L109" s="44"/>
      <c r="M109" s="45">
        <v>46144</v>
      </c>
      <c r="N109" s="44">
        <v>46144</v>
      </c>
      <c r="O109" s="20"/>
      <c r="P109" s="20"/>
      <c r="Q109" t="s">
        <v>218</v>
      </c>
    </row>
    <row r="110" spans="1:17" ht="15.75" customHeight="1">
      <c r="A110" s="20" t="s">
        <v>145</v>
      </c>
      <c r="B110" s="21" t="s">
        <v>19</v>
      </c>
      <c r="C110" s="21" t="s">
        <v>11</v>
      </c>
      <c r="D110" s="21" t="s">
        <v>15</v>
      </c>
      <c r="E110" s="21" t="s">
        <v>29</v>
      </c>
      <c r="F110" s="21" t="s">
        <v>30</v>
      </c>
      <c r="G110" s="21" t="s">
        <v>31</v>
      </c>
      <c r="H110" s="21" t="s">
        <v>28</v>
      </c>
      <c r="I110" s="19">
        <v>8592</v>
      </c>
      <c r="J110" s="22">
        <v>1</v>
      </c>
      <c r="K110" s="19">
        <f t="shared" si="2"/>
        <v>8592</v>
      </c>
      <c r="L110" s="44"/>
      <c r="M110" s="45">
        <v>46145</v>
      </c>
      <c r="N110" s="44">
        <v>46145</v>
      </c>
      <c r="O110" s="20"/>
      <c r="P110" s="20"/>
      <c r="Q110" t="s">
        <v>219</v>
      </c>
    </row>
    <row r="111" spans="1:17" ht="15.75" customHeight="1">
      <c r="A111" s="20" t="s">
        <v>199</v>
      </c>
      <c r="B111" s="21" t="s">
        <v>19</v>
      </c>
      <c r="C111" s="21" t="s">
        <v>11</v>
      </c>
      <c r="D111" s="21" t="s">
        <v>15</v>
      </c>
      <c r="E111" s="21" t="s">
        <v>29</v>
      </c>
      <c r="F111" s="21" t="s">
        <v>30</v>
      </c>
      <c r="G111" s="21" t="s">
        <v>35</v>
      </c>
      <c r="H111" s="21" t="s">
        <v>38</v>
      </c>
      <c r="I111" s="19">
        <v>3555</v>
      </c>
      <c r="J111" s="22">
        <v>1</v>
      </c>
      <c r="K111" s="19">
        <f t="shared" si="2"/>
        <v>3555</v>
      </c>
      <c r="L111" s="44"/>
      <c r="M111" s="45">
        <v>46146</v>
      </c>
      <c r="N111" s="44">
        <v>46146</v>
      </c>
      <c r="O111" s="20"/>
      <c r="P111" s="20"/>
      <c r="Q111" t="s">
        <v>220</v>
      </c>
    </row>
    <row r="112" spans="1:17" ht="15.75" customHeight="1">
      <c r="A112" s="20" t="s">
        <v>174</v>
      </c>
      <c r="B112" s="21" t="s">
        <v>19</v>
      </c>
      <c r="C112" s="21" t="s">
        <v>11</v>
      </c>
      <c r="D112" s="21" t="s">
        <v>15</v>
      </c>
      <c r="E112" s="21"/>
      <c r="F112" s="21" t="s">
        <v>30</v>
      </c>
      <c r="G112" s="21" t="s">
        <v>35</v>
      </c>
      <c r="H112" s="21" t="s">
        <v>28</v>
      </c>
      <c r="I112" s="19">
        <v>10995</v>
      </c>
      <c r="J112" s="22">
        <v>1</v>
      </c>
      <c r="K112" s="19">
        <f t="shared" si="2"/>
        <v>10995</v>
      </c>
      <c r="L112" s="44"/>
      <c r="M112" s="45">
        <v>46147</v>
      </c>
      <c r="N112" s="44">
        <v>46147</v>
      </c>
      <c r="O112" s="20"/>
      <c r="P112" s="20"/>
      <c r="Q112" t="s">
        <v>221</v>
      </c>
    </row>
    <row r="113" spans="1:17" ht="15.75" customHeight="1">
      <c r="A113" s="20" t="s">
        <v>112</v>
      </c>
      <c r="B113" s="21" t="s">
        <v>19</v>
      </c>
      <c r="C113" s="21" t="s">
        <v>11</v>
      </c>
      <c r="D113" s="21" t="s">
        <v>15</v>
      </c>
      <c r="E113" s="21" t="s">
        <v>33</v>
      </c>
      <c r="F113" s="21" t="s">
        <v>30</v>
      </c>
      <c r="G113" s="21" t="s">
        <v>35</v>
      </c>
      <c r="H113" s="21" t="s">
        <v>36</v>
      </c>
      <c r="I113" s="19">
        <v>95548</v>
      </c>
      <c r="J113" s="22">
        <v>1</v>
      </c>
      <c r="K113" s="19">
        <f t="shared" si="2"/>
        <v>95548</v>
      </c>
      <c r="L113" s="44"/>
      <c r="M113" s="45">
        <v>46148</v>
      </c>
      <c r="N113" s="44">
        <v>46148</v>
      </c>
      <c r="O113" s="20"/>
      <c r="P113" s="20"/>
      <c r="Q113" t="s">
        <v>222</v>
      </c>
    </row>
    <row r="114" spans="1:17" ht="15.75" customHeight="1">
      <c r="A114" s="20" t="s">
        <v>223</v>
      </c>
      <c r="B114" s="21" t="s">
        <v>19</v>
      </c>
      <c r="C114" s="21" t="s">
        <v>11</v>
      </c>
      <c r="D114" s="21" t="s">
        <v>15</v>
      </c>
      <c r="E114" s="21" t="s">
        <v>29</v>
      </c>
      <c r="F114" s="21" t="s">
        <v>30</v>
      </c>
      <c r="G114" s="21" t="s">
        <v>31</v>
      </c>
      <c r="H114" s="21" t="s">
        <v>28</v>
      </c>
      <c r="I114" s="19">
        <v>2955</v>
      </c>
      <c r="J114" s="22">
        <v>1</v>
      </c>
      <c r="K114" s="19">
        <f t="shared" si="2"/>
        <v>2955</v>
      </c>
      <c r="L114" s="44"/>
      <c r="M114" s="45">
        <v>46149</v>
      </c>
      <c r="N114" s="44">
        <v>46149</v>
      </c>
      <c r="O114" s="20"/>
      <c r="P114" s="20"/>
      <c r="Q114" t="s">
        <v>224</v>
      </c>
    </row>
    <row r="115" spans="1:17" ht="15.75" customHeight="1">
      <c r="A115" s="20" t="s">
        <v>180</v>
      </c>
      <c r="B115" s="21" t="s">
        <v>19</v>
      </c>
      <c r="C115" s="21" t="s">
        <v>11</v>
      </c>
      <c r="D115" s="21" t="s">
        <v>15</v>
      </c>
      <c r="E115" s="21" t="s">
        <v>29</v>
      </c>
      <c r="F115" s="21" t="s">
        <v>30</v>
      </c>
      <c r="G115" s="21" t="s">
        <v>31</v>
      </c>
      <c r="H115" s="21" t="s">
        <v>28</v>
      </c>
      <c r="I115" s="19">
        <v>19650</v>
      </c>
      <c r="J115" s="22">
        <v>1</v>
      </c>
      <c r="K115" s="19">
        <f t="shared" si="2"/>
        <v>19650</v>
      </c>
      <c r="L115" s="44"/>
      <c r="M115" s="45">
        <v>46150</v>
      </c>
      <c r="N115" s="44">
        <v>46150</v>
      </c>
      <c r="O115" s="20"/>
      <c r="P115" s="20"/>
      <c r="Q115" t="s">
        <v>225</v>
      </c>
    </row>
    <row r="116" spans="1:17" ht="15.75" customHeight="1">
      <c r="A116" s="20" t="s">
        <v>154</v>
      </c>
      <c r="B116" s="21" t="s">
        <v>19</v>
      </c>
      <c r="C116" s="21" t="s">
        <v>11</v>
      </c>
      <c r="D116" s="21" t="s">
        <v>15</v>
      </c>
      <c r="E116" s="21" t="s">
        <v>33</v>
      </c>
      <c r="F116" s="21" t="s">
        <v>30</v>
      </c>
      <c r="G116" s="21" t="s">
        <v>31</v>
      </c>
      <c r="H116" s="21" t="s">
        <v>28</v>
      </c>
      <c r="I116" s="19">
        <v>26320</v>
      </c>
      <c r="J116" s="22">
        <v>1</v>
      </c>
      <c r="K116" s="19">
        <f t="shared" si="2"/>
        <v>26320</v>
      </c>
      <c r="L116" s="44"/>
      <c r="M116" s="45">
        <v>46151</v>
      </c>
      <c r="N116" s="44">
        <v>46151</v>
      </c>
      <c r="O116" s="20"/>
      <c r="P116" s="20"/>
      <c r="Q116" t="s">
        <v>226</v>
      </c>
    </row>
    <row r="117" spans="1:17" ht="15.75" customHeight="1">
      <c r="A117" s="20" t="s">
        <v>122</v>
      </c>
      <c r="B117" s="21" t="s">
        <v>19</v>
      </c>
      <c r="C117" s="21" t="s">
        <v>11</v>
      </c>
      <c r="D117" s="21" t="s">
        <v>12</v>
      </c>
      <c r="E117" s="21" t="s">
        <v>25</v>
      </c>
      <c r="F117" s="21" t="s">
        <v>30</v>
      </c>
      <c r="G117" s="21" t="s">
        <v>31</v>
      </c>
      <c r="H117" s="21" t="s">
        <v>28</v>
      </c>
      <c r="I117" s="19">
        <v>233263</v>
      </c>
      <c r="J117" s="22">
        <v>1</v>
      </c>
      <c r="K117" s="19">
        <f t="shared" si="2"/>
        <v>233263</v>
      </c>
      <c r="L117" s="44"/>
      <c r="M117" s="45">
        <v>46152</v>
      </c>
      <c r="N117" s="44">
        <v>46152</v>
      </c>
      <c r="O117" s="20"/>
      <c r="P117" s="20"/>
      <c r="Q117" t="s">
        <v>227</v>
      </c>
    </row>
    <row r="118" spans="1:17" ht="15.75" customHeight="1">
      <c r="A118" s="20" t="s">
        <v>183</v>
      </c>
      <c r="B118" s="21" t="s">
        <v>19</v>
      </c>
      <c r="C118" s="21" t="s">
        <v>11</v>
      </c>
      <c r="D118" s="21" t="s">
        <v>15</v>
      </c>
      <c r="E118" s="21" t="s">
        <v>25</v>
      </c>
      <c r="F118" s="21" t="s">
        <v>30</v>
      </c>
      <c r="G118" s="21" t="s">
        <v>31</v>
      </c>
      <c r="H118" s="21" t="s">
        <v>36</v>
      </c>
      <c r="I118" s="19">
        <v>81480</v>
      </c>
      <c r="J118" s="22">
        <v>1</v>
      </c>
      <c r="K118" s="19">
        <f t="shared" si="2"/>
        <v>81480</v>
      </c>
      <c r="L118" s="44"/>
      <c r="M118" s="45">
        <v>46153</v>
      </c>
      <c r="N118" s="44">
        <v>46153</v>
      </c>
      <c r="O118" s="20"/>
      <c r="P118" s="20"/>
      <c r="Q118" t="s">
        <v>228</v>
      </c>
    </row>
    <row r="119" spans="1:17" ht="15.75" customHeight="1">
      <c r="A119" s="20" t="s">
        <v>126</v>
      </c>
      <c r="B119" s="21" t="s">
        <v>19</v>
      </c>
      <c r="C119" s="21" t="s">
        <v>11</v>
      </c>
      <c r="D119" s="21" t="s">
        <v>12</v>
      </c>
      <c r="E119" s="21" t="s">
        <v>33</v>
      </c>
      <c r="F119" s="21" t="s">
        <v>30</v>
      </c>
      <c r="G119" s="21" t="s">
        <v>35</v>
      </c>
      <c r="H119" s="21" t="s">
        <v>36</v>
      </c>
      <c r="I119" s="19">
        <v>179510</v>
      </c>
      <c r="J119" s="22">
        <v>1</v>
      </c>
      <c r="K119" s="19">
        <f t="shared" si="2"/>
        <v>179510</v>
      </c>
      <c r="L119" s="44"/>
      <c r="M119" s="45">
        <v>46154</v>
      </c>
      <c r="N119" s="44">
        <v>46154</v>
      </c>
      <c r="O119" s="20"/>
      <c r="P119" s="20"/>
      <c r="Q119" t="s">
        <v>229</v>
      </c>
    </row>
    <row r="120" spans="1:17" ht="15.75" customHeight="1">
      <c r="A120" s="20" t="s">
        <v>128</v>
      </c>
      <c r="B120" s="21" t="s">
        <v>19</v>
      </c>
      <c r="C120" s="21" t="s">
        <v>11</v>
      </c>
      <c r="D120" s="21" t="s">
        <v>8</v>
      </c>
      <c r="E120" s="21" t="s">
        <v>33</v>
      </c>
      <c r="F120" s="21" t="s">
        <v>30</v>
      </c>
      <c r="G120" s="21" t="s">
        <v>35</v>
      </c>
      <c r="H120" s="21" t="s">
        <v>36</v>
      </c>
      <c r="I120" s="19">
        <v>407500</v>
      </c>
      <c r="J120" s="22">
        <v>1</v>
      </c>
      <c r="K120" s="19">
        <f t="shared" si="2"/>
        <v>407500</v>
      </c>
      <c r="L120" s="44"/>
      <c r="M120" s="45">
        <v>46155</v>
      </c>
      <c r="N120" s="44">
        <v>46155</v>
      </c>
      <c r="O120" s="20"/>
      <c r="P120" s="20"/>
      <c r="Q120" t="s">
        <v>230</v>
      </c>
    </row>
    <row r="121" spans="1:17" ht="15.75" customHeight="1">
      <c r="A121" s="20" t="s">
        <v>130</v>
      </c>
      <c r="B121" s="21" t="s">
        <v>19</v>
      </c>
      <c r="C121" s="21" t="s">
        <v>11</v>
      </c>
      <c r="D121" s="21" t="s">
        <v>8</v>
      </c>
      <c r="E121" s="21" t="s">
        <v>25</v>
      </c>
      <c r="F121" s="21" t="s">
        <v>30</v>
      </c>
      <c r="G121" s="21" t="s">
        <v>31</v>
      </c>
      <c r="H121" s="21" t="s">
        <v>38</v>
      </c>
      <c r="I121" s="19">
        <v>693165</v>
      </c>
      <c r="J121" s="22">
        <v>1</v>
      </c>
      <c r="K121" s="19">
        <f t="shared" si="2"/>
        <v>693165</v>
      </c>
      <c r="L121" s="44"/>
      <c r="M121" s="45">
        <v>46156</v>
      </c>
      <c r="N121" s="44">
        <v>46156</v>
      </c>
      <c r="O121" s="20"/>
      <c r="P121" s="20"/>
      <c r="Q121" t="s">
        <v>231</v>
      </c>
    </row>
    <row r="122" spans="1:17" ht="15.75" customHeight="1">
      <c r="A122" s="20" t="s">
        <v>232</v>
      </c>
      <c r="B122" s="21" t="s">
        <v>19</v>
      </c>
      <c r="C122" s="21" t="s">
        <v>11</v>
      </c>
      <c r="D122" s="21" t="s">
        <v>8</v>
      </c>
      <c r="E122" s="21" t="s">
        <v>33</v>
      </c>
      <c r="F122" s="21" t="s">
        <v>30</v>
      </c>
      <c r="G122" s="21" t="s">
        <v>35</v>
      </c>
      <c r="H122" s="21" t="s">
        <v>38</v>
      </c>
      <c r="I122" s="19">
        <v>1177715</v>
      </c>
      <c r="J122" s="22">
        <v>1</v>
      </c>
      <c r="K122" s="19">
        <f t="shared" si="2"/>
        <v>1177715</v>
      </c>
      <c r="L122" s="44"/>
      <c r="M122" s="45">
        <v>46157</v>
      </c>
      <c r="N122" s="44">
        <v>46157</v>
      </c>
      <c r="O122" s="20"/>
      <c r="P122" s="20"/>
      <c r="Q122" t="s">
        <v>233</v>
      </c>
    </row>
    <row r="123" spans="1:17" ht="15.75" customHeight="1">
      <c r="A123" s="20" t="s">
        <v>234</v>
      </c>
      <c r="B123" s="21" t="s">
        <v>19</v>
      </c>
      <c r="C123" s="21" t="s">
        <v>11</v>
      </c>
      <c r="D123" s="21" t="s">
        <v>15</v>
      </c>
      <c r="E123" s="21"/>
      <c r="F123" s="21" t="s">
        <v>30</v>
      </c>
      <c r="G123" s="21" t="s">
        <v>31</v>
      </c>
      <c r="H123" s="21" t="s">
        <v>28</v>
      </c>
      <c r="I123" s="19">
        <v>7823</v>
      </c>
      <c r="J123" s="22">
        <v>1</v>
      </c>
      <c r="K123" s="19">
        <f t="shared" si="2"/>
        <v>7823</v>
      </c>
      <c r="L123" s="44"/>
      <c r="M123" s="45">
        <v>46158</v>
      </c>
      <c r="N123" s="44">
        <v>46158</v>
      </c>
      <c r="O123" s="20"/>
      <c r="P123" s="20"/>
      <c r="Q123" t="s">
        <v>235</v>
      </c>
    </row>
    <row r="124" spans="1:17" ht="15.75" customHeight="1">
      <c r="A124" s="20" t="s">
        <v>112</v>
      </c>
      <c r="B124" s="21" t="s">
        <v>19</v>
      </c>
      <c r="C124" s="21" t="s">
        <v>11</v>
      </c>
      <c r="D124" s="21" t="s">
        <v>15</v>
      </c>
      <c r="E124" s="21" t="s">
        <v>33</v>
      </c>
      <c r="F124" s="21" t="s">
        <v>30</v>
      </c>
      <c r="G124" s="21" t="s">
        <v>35</v>
      </c>
      <c r="H124" s="21" t="s">
        <v>36</v>
      </c>
      <c r="I124" s="19">
        <v>36400</v>
      </c>
      <c r="J124" s="22">
        <v>1</v>
      </c>
      <c r="K124" s="19">
        <f t="shared" si="2"/>
        <v>36400</v>
      </c>
      <c r="L124" s="44"/>
      <c r="M124" s="45">
        <v>46174</v>
      </c>
      <c r="N124" s="44">
        <v>46174</v>
      </c>
      <c r="O124" s="20"/>
      <c r="P124" s="20"/>
      <c r="Q124" t="s">
        <v>236</v>
      </c>
    </row>
    <row r="125" spans="1:17" ht="15.75" customHeight="1">
      <c r="A125" s="20" t="s">
        <v>122</v>
      </c>
      <c r="B125" s="21" t="s">
        <v>19</v>
      </c>
      <c r="C125" s="21" t="s">
        <v>11</v>
      </c>
      <c r="D125" s="21" t="s">
        <v>15</v>
      </c>
      <c r="E125" s="21" t="s">
        <v>25</v>
      </c>
      <c r="F125" s="21" t="s">
        <v>30</v>
      </c>
      <c r="G125" s="21" t="s">
        <v>31</v>
      </c>
      <c r="H125" s="21" t="s">
        <v>28</v>
      </c>
      <c r="I125" s="19">
        <v>14980</v>
      </c>
      <c r="J125" s="22">
        <v>1</v>
      </c>
      <c r="K125" s="19">
        <f t="shared" si="2"/>
        <v>14980</v>
      </c>
      <c r="L125" s="44"/>
      <c r="M125" s="45">
        <v>46175</v>
      </c>
      <c r="N125" s="44">
        <v>46175</v>
      </c>
      <c r="O125" s="20"/>
      <c r="P125" s="20"/>
      <c r="Q125" t="s">
        <v>237</v>
      </c>
    </row>
    <row r="126" spans="1:17" ht="15.75" customHeight="1">
      <c r="A126" s="20" t="s">
        <v>126</v>
      </c>
      <c r="B126" s="21" t="s">
        <v>19</v>
      </c>
      <c r="C126" s="21" t="s">
        <v>11</v>
      </c>
      <c r="D126" s="21" t="s">
        <v>15</v>
      </c>
      <c r="E126" s="21" t="s">
        <v>29</v>
      </c>
      <c r="F126" s="21" t="s">
        <v>34</v>
      </c>
      <c r="G126" s="21" t="s">
        <v>35</v>
      </c>
      <c r="H126" s="21" t="s">
        <v>36</v>
      </c>
      <c r="I126" s="19">
        <v>11795</v>
      </c>
      <c r="J126" s="22">
        <v>1</v>
      </c>
      <c r="K126" s="19">
        <f t="shared" si="2"/>
        <v>11795</v>
      </c>
      <c r="L126" s="44"/>
      <c r="M126" s="45">
        <v>46176</v>
      </c>
      <c r="N126" s="44">
        <v>46176</v>
      </c>
      <c r="O126" s="20"/>
      <c r="P126" s="20"/>
      <c r="Q126" t="s">
        <v>238</v>
      </c>
    </row>
    <row r="127" spans="1:17" ht="15.75" customHeight="1">
      <c r="A127" s="20" t="s">
        <v>128</v>
      </c>
      <c r="B127" s="21" t="s">
        <v>19</v>
      </c>
      <c r="C127" s="21" t="s">
        <v>11</v>
      </c>
      <c r="D127" s="21" t="s">
        <v>15</v>
      </c>
      <c r="E127" s="21" t="s">
        <v>29</v>
      </c>
      <c r="F127" s="21" t="s">
        <v>34</v>
      </c>
      <c r="G127" s="21" t="s">
        <v>35</v>
      </c>
      <c r="H127" s="21" t="s">
        <v>36</v>
      </c>
      <c r="I127" s="19">
        <v>12050</v>
      </c>
      <c r="J127" s="22">
        <v>1</v>
      </c>
      <c r="K127" s="19">
        <f t="shared" si="2"/>
        <v>12050</v>
      </c>
      <c r="L127" s="44"/>
      <c r="M127" s="45">
        <v>46177</v>
      </c>
      <c r="N127" s="44">
        <v>46177</v>
      </c>
      <c r="O127" s="20"/>
      <c r="P127" s="20"/>
      <c r="Q127" t="s">
        <v>239</v>
      </c>
    </row>
    <row r="128" spans="1:17" ht="15.75" customHeight="1">
      <c r="A128" s="20" t="s">
        <v>130</v>
      </c>
      <c r="B128" s="21" t="s">
        <v>19</v>
      </c>
      <c r="C128" s="21" t="s">
        <v>11</v>
      </c>
      <c r="D128" s="21" t="s">
        <v>12</v>
      </c>
      <c r="E128" s="21" t="s">
        <v>25</v>
      </c>
      <c r="F128" s="21" t="s">
        <v>30</v>
      </c>
      <c r="G128" s="21" t="s">
        <v>31</v>
      </c>
      <c r="H128" s="21" t="s">
        <v>38</v>
      </c>
      <c r="I128" s="19">
        <v>166753</v>
      </c>
      <c r="J128" s="22">
        <v>1</v>
      </c>
      <c r="K128" s="19">
        <f t="shared" si="2"/>
        <v>166753</v>
      </c>
      <c r="L128" s="44"/>
      <c r="M128" s="45">
        <v>46178</v>
      </c>
      <c r="N128" s="44">
        <v>46178</v>
      </c>
      <c r="O128" s="20"/>
      <c r="P128" s="20"/>
      <c r="Q128" t="s">
        <v>240</v>
      </c>
    </row>
    <row r="129" spans="1:17" ht="15.75" customHeight="1">
      <c r="A129" s="20" t="s">
        <v>241</v>
      </c>
      <c r="B129" s="21" t="s">
        <v>19</v>
      </c>
      <c r="C129" s="21" t="s">
        <v>11</v>
      </c>
      <c r="D129" s="21" t="s">
        <v>15</v>
      </c>
      <c r="E129" s="21" t="s">
        <v>33</v>
      </c>
      <c r="F129" s="21" t="s">
        <v>34</v>
      </c>
      <c r="G129" s="21" t="s">
        <v>35</v>
      </c>
      <c r="H129" s="21" t="s">
        <v>28</v>
      </c>
      <c r="I129" s="19">
        <v>20689</v>
      </c>
      <c r="J129" s="22">
        <v>1</v>
      </c>
      <c r="K129" s="19">
        <f t="shared" si="2"/>
        <v>20689</v>
      </c>
      <c r="L129" s="44"/>
      <c r="M129" s="45">
        <v>46179</v>
      </c>
      <c r="N129" s="44">
        <v>46179</v>
      </c>
      <c r="O129" s="20"/>
      <c r="P129" s="20"/>
      <c r="Q129" t="s">
        <v>242</v>
      </c>
    </row>
    <row r="130" spans="1:17" ht="15.75" customHeight="1">
      <c r="A130" s="20" t="s">
        <v>243</v>
      </c>
      <c r="B130" s="21" t="s">
        <v>19</v>
      </c>
      <c r="C130" s="21" t="s">
        <v>11</v>
      </c>
      <c r="D130" s="21" t="s">
        <v>15</v>
      </c>
      <c r="E130" s="21" t="s">
        <v>29</v>
      </c>
      <c r="F130" s="21" t="s">
        <v>34</v>
      </c>
      <c r="G130" s="21" t="s">
        <v>35</v>
      </c>
      <c r="H130" s="21" t="s">
        <v>36</v>
      </c>
      <c r="I130" s="19">
        <v>69670</v>
      </c>
      <c r="J130" s="22">
        <v>1</v>
      </c>
      <c r="K130" s="19">
        <f t="shared" si="2"/>
        <v>69670</v>
      </c>
      <c r="L130" s="44"/>
      <c r="M130" s="45">
        <v>46180</v>
      </c>
      <c r="N130" s="44">
        <v>46180</v>
      </c>
      <c r="O130" s="20"/>
      <c r="P130" s="20"/>
      <c r="Q130" t="s">
        <v>244</v>
      </c>
    </row>
    <row r="131" spans="1:17" ht="15.75" customHeight="1">
      <c r="A131" s="20" t="s">
        <v>245</v>
      </c>
      <c r="B131" s="21" t="s">
        <v>19</v>
      </c>
      <c r="C131" s="21" t="s">
        <v>11</v>
      </c>
      <c r="D131" s="21" t="s">
        <v>12</v>
      </c>
      <c r="E131" s="21" t="s">
        <v>33</v>
      </c>
      <c r="F131" s="21" t="s">
        <v>30</v>
      </c>
      <c r="G131" s="21" t="s">
        <v>35</v>
      </c>
      <c r="H131" s="21" t="s">
        <v>36</v>
      </c>
      <c r="I131" s="19">
        <v>78200</v>
      </c>
      <c r="J131" s="22">
        <v>1</v>
      </c>
      <c r="K131" s="19">
        <f t="shared" si="2"/>
        <v>78200</v>
      </c>
      <c r="L131" s="44">
        <v>46161</v>
      </c>
      <c r="M131" s="45">
        <v>46192</v>
      </c>
      <c r="N131" s="44">
        <v>46192</v>
      </c>
      <c r="O131" s="20"/>
      <c r="P131" s="20"/>
      <c r="Q131" t="s">
        <v>246</v>
      </c>
    </row>
    <row r="132" spans="1:17" ht="15.75" customHeight="1">
      <c r="A132" s="20" t="s">
        <v>247</v>
      </c>
      <c r="B132" s="21" t="s">
        <v>19</v>
      </c>
      <c r="C132" s="21" t="s">
        <v>11</v>
      </c>
      <c r="D132" s="21" t="s">
        <v>15</v>
      </c>
      <c r="E132" s="21" t="s">
        <v>33</v>
      </c>
      <c r="F132" s="21" t="s">
        <v>34</v>
      </c>
      <c r="G132" s="21" t="s">
        <v>35</v>
      </c>
      <c r="H132" s="21" t="s">
        <v>28</v>
      </c>
      <c r="I132" s="19">
        <v>51532</v>
      </c>
      <c r="J132" s="22">
        <v>1</v>
      </c>
      <c r="K132" s="19">
        <f t="shared" si="2"/>
        <v>51532</v>
      </c>
      <c r="L132" s="44">
        <v>46174</v>
      </c>
      <c r="M132" s="45">
        <v>46199</v>
      </c>
      <c r="N132" s="44">
        <v>46199</v>
      </c>
      <c r="O132" s="20"/>
      <c r="P132" s="20"/>
      <c r="Q132" t="s">
        <v>248</v>
      </c>
    </row>
    <row r="133" spans="1:17" ht="15.75" customHeight="1">
      <c r="A133" s="20" t="s">
        <v>249</v>
      </c>
      <c r="B133" s="21" t="s">
        <v>19</v>
      </c>
      <c r="C133" s="21" t="s">
        <v>11</v>
      </c>
      <c r="D133" s="21" t="s">
        <v>12</v>
      </c>
      <c r="E133" s="21" t="s">
        <v>33</v>
      </c>
      <c r="F133" s="21" t="s">
        <v>34</v>
      </c>
      <c r="G133" s="21" t="s">
        <v>31</v>
      </c>
      <c r="H133" s="21" t="s">
        <v>28</v>
      </c>
      <c r="I133" s="19">
        <v>129000</v>
      </c>
      <c r="J133" s="22">
        <v>1</v>
      </c>
      <c r="K133" s="19">
        <f t="shared" si="2"/>
        <v>129000</v>
      </c>
      <c r="L133" s="44">
        <v>46181</v>
      </c>
      <c r="M133" s="45">
        <v>46198</v>
      </c>
      <c r="N133" s="44">
        <v>46198</v>
      </c>
      <c r="O133" s="20"/>
      <c r="P133" s="20"/>
      <c r="Q133" t="s">
        <v>250</v>
      </c>
    </row>
    <row r="134" spans="1:17" ht="15.75" customHeight="1">
      <c r="A134" s="20" t="s">
        <v>122</v>
      </c>
      <c r="B134" s="21" t="s">
        <v>17</v>
      </c>
      <c r="C134" s="21" t="s">
        <v>11</v>
      </c>
      <c r="D134" s="21" t="s">
        <v>15</v>
      </c>
      <c r="E134" s="21" t="s">
        <v>25</v>
      </c>
      <c r="F134" s="21" t="s">
        <v>30</v>
      </c>
      <c r="G134" s="21" t="s">
        <v>31</v>
      </c>
      <c r="H134" s="21" t="s">
        <v>28</v>
      </c>
      <c r="I134" s="19">
        <v>34515</v>
      </c>
      <c r="J134" s="22">
        <v>1</v>
      </c>
      <c r="K134" s="19">
        <f t="shared" si="2"/>
        <v>34515</v>
      </c>
      <c r="L134" s="44">
        <v>46189</v>
      </c>
      <c r="M134" s="45">
        <v>46220</v>
      </c>
      <c r="N134" s="44">
        <v>46220</v>
      </c>
      <c r="O134" s="20"/>
      <c r="P134" s="20"/>
      <c r="Q134" t="s">
        <v>251</v>
      </c>
    </row>
    <row r="135" spans="1:17" ht="15.75" customHeight="1">
      <c r="A135" s="20" t="s">
        <v>156</v>
      </c>
      <c r="B135" s="21" t="s">
        <v>17</v>
      </c>
      <c r="C135" s="21" t="s">
        <v>11</v>
      </c>
      <c r="D135" s="21" t="s">
        <v>12</v>
      </c>
      <c r="E135" s="21" t="s">
        <v>33</v>
      </c>
      <c r="F135" s="21" t="s">
        <v>30</v>
      </c>
      <c r="G135" s="21" t="s">
        <v>35</v>
      </c>
      <c r="H135" s="21" t="s">
        <v>38</v>
      </c>
      <c r="I135" s="19">
        <v>212854</v>
      </c>
      <c r="J135" s="22">
        <v>1</v>
      </c>
      <c r="K135" s="19">
        <f t="shared" si="2"/>
        <v>212854</v>
      </c>
      <c r="L135" s="44">
        <v>46171</v>
      </c>
      <c r="M135" s="45">
        <v>46198</v>
      </c>
      <c r="N135" s="44">
        <v>46198</v>
      </c>
      <c r="O135" s="20"/>
      <c r="P135" s="20"/>
      <c r="Q135" t="s">
        <v>252</v>
      </c>
    </row>
    <row r="136" spans="1:17" ht="15.75" customHeight="1">
      <c r="A136" s="20" t="s">
        <v>253</v>
      </c>
      <c r="B136" s="21" t="s">
        <v>19</v>
      </c>
      <c r="C136" s="21" t="s">
        <v>11</v>
      </c>
      <c r="D136" s="21" t="s">
        <v>12</v>
      </c>
      <c r="E136" s="21" t="s">
        <v>33</v>
      </c>
      <c r="F136" s="21" t="s">
        <v>30</v>
      </c>
      <c r="G136" s="21" t="s">
        <v>35</v>
      </c>
      <c r="H136" s="21" t="s">
        <v>36</v>
      </c>
      <c r="I136" s="19">
        <v>104550</v>
      </c>
      <c r="J136" s="22">
        <v>1</v>
      </c>
      <c r="K136" s="19">
        <f t="shared" si="2"/>
        <v>104550</v>
      </c>
      <c r="L136" s="44">
        <v>46157</v>
      </c>
      <c r="M136" s="45">
        <v>46204</v>
      </c>
      <c r="N136" s="44">
        <v>46204</v>
      </c>
      <c r="O136" s="20"/>
      <c r="P136" s="20"/>
      <c r="Q136" t="s">
        <v>254</v>
      </c>
    </row>
    <row r="137" spans="1:17" ht="15.75" customHeight="1">
      <c r="A137" s="20" t="s">
        <v>253</v>
      </c>
      <c r="B137" s="21" t="s">
        <v>19</v>
      </c>
      <c r="C137" s="21" t="s">
        <v>11</v>
      </c>
      <c r="D137" s="21" t="s">
        <v>12</v>
      </c>
      <c r="E137" s="21" t="s">
        <v>29</v>
      </c>
      <c r="F137" s="21" t="s">
        <v>30</v>
      </c>
      <c r="G137" s="21" t="s">
        <v>35</v>
      </c>
      <c r="H137" s="21" t="s">
        <v>36</v>
      </c>
      <c r="I137" s="19">
        <v>105625</v>
      </c>
      <c r="J137" s="22">
        <v>1</v>
      </c>
      <c r="K137" s="19">
        <f t="shared" si="2"/>
        <v>105625</v>
      </c>
      <c r="L137" s="44">
        <v>46175</v>
      </c>
      <c r="M137" s="45">
        <v>46204</v>
      </c>
      <c r="N137" s="44">
        <v>46204</v>
      </c>
      <c r="O137" s="20"/>
      <c r="P137" s="20"/>
      <c r="Q137" t="s">
        <v>255</v>
      </c>
    </row>
    <row r="138" spans="1:17" ht="15.75" customHeight="1">
      <c r="A138" s="20" t="s">
        <v>130</v>
      </c>
      <c r="B138" s="21" t="s">
        <v>19</v>
      </c>
      <c r="C138" s="21" t="s">
        <v>7</v>
      </c>
      <c r="D138" s="21" t="s">
        <v>12</v>
      </c>
      <c r="E138" s="21" t="s">
        <v>29</v>
      </c>
      <c r="F138" s="21" t="s">
        <v>30</v>
      </c>
      <c r="G138" s="21" t="s">
        <v>31</v>
      </c>
      <c r="H138" s="21" t="s">
        <v>38</v>
      </c>
      <c r="I138" s="19">
        <v>430509</v>
      </c>
      <c r="J138" s="22">
        <v>1</v>
      </c>
      <c r="K138" s="19">
        <f t="shared" ref="K138:K169" si="3">IF(I138="",0,I138*J138)</f>
        <v>430509</v>
      </c>
      <c r="L138" s="44">
        <v>46151</v>
      </c>
      <c r="M138" s="45">
        <v>46203</v>
      </c>
      <c r="N138" s="44">
        <v>46212</v>
      </c>
      <c r="O138" s="20"/>
      <c r="P138" s="20"/>
      <c r="Q138" t="s">
        <v>256</v>
      </c>
    </row>
    <row r="139" spans="1:17" ht="15.75" customHeight="1">
      <c r="A139" s="20" t="s">
        <v>257</v>
      </c>
      <c r="B139" s="21" t="s">
        <v>17</v>
      </c>
      <c r="C139" s="21" t="s">
        <v>11</v>
      </c>
      <c r="D139" s="21" t="s">
        <v>12</v>
      </c>
      <c r="E139" s="21" t="s">
        <v>25</v>
      </c>
      <c r="F139" s="21" t="s">
        <v>30</v>
      </c>
      <c r="G139" s="21" t="s">
        <v>35</v>
      </c>
      <c r="H139" s="21" t="s">
        <v>38</v>
      </c>
      <c r="I139" s="19">
        <v>330728</v>
      </c>
      <c r="J139" s="22">
        <v>1</v>
      </c>
      <c r="K139" s="19">
        <f t="shared" si="3"/>
        <v>330728</v>
      </c>
      <c r="L139" s="44">
        <v>46179</v>
      </c>
      <c r="M139" s="45">
        <v>46221</v>
      </c>
      <c r="N139" s="44">
        <v>46221</v>
      </c>
      <c r="O139" s="20"/>
      <c r="P139" s="20"/>
      <c r="Q139" t="s">
        <v>258</v>
      </c>
    </row>
    <row r="140" spans="1:17" ht="15.75" customHeight="1">
      <c r="A140" s="20" t="s">
        <v>259</v>
      </c>
      <c r="B140" s="21" t="s">
        <v>19</v>
      </c>
      <c r="C140" s="21" t="s">
        <v>11</v>
      </c>
      <c r="D140" s="21" t="s">
        <v>12</v>
      </c>
      <c r="E140" s="21" t="s">
        <v>33</v>
      </c>
      <c r="F140" s="21" t="s">
        <v>30</v>
      </c>
      <c r="G140" s="21" t="s">
        <v>35</v>
      </c>
      <c r="H140" s="21" t="s">
        <v>38</v>
      </c>
      <c r="I140" s="19">
        <v>69252</v>
      </c>
      <c r="J140" s="22">
        <v>1</v>
      </c>
      <c r="K140" s="19">
        <f t="shared" si="3"/>
        <v>69252</v>
      </c>
      <c r="L140" s="44">
        <v>46168</v>
      </c>
      <c r="M140" s="45">
        <v>46198</v>
      </c>
      <c r="N140" s="44">
        <v>46198</v>
      </c>
      <c r="O140" s="20"/>
      <c r="P140" s="20"/>
      <c r="Q140" t="s">
        <v>260</v>
      </c>
    </row>
    <row r="141" spans="1:17" ht="15.75" customHeight="1">
      <c r="A141" s="20" t="s">
        <v>261</v>
      </c>
      <c r="B141" s="21" t="s">
        <v>17</v>
      </c>
      <c r="C141" s="21" t="s">
        <v>11</v>
      </c>
      <c r="D141" s="21" t="s">
        <v>12</v>
      </c>
      <c r="E141" s="21" t="s">
        <v>25</v>
      </c>
      <c r="F141" s="21" t="s">
        <v>30</v>
      </c>
      <c r="G141" s="21" t="s">
        <v>31</v>
      </c>
      <c r="H141" s="21"/>
      <c r="I141" s="19">
        <v>163302</v>
      </c>
      <c r="J141" s="22">
        <v>1</v>
      </c>
      <c r="K141" s="19">
        <f t="shared" si="3"/>
        <v>163302</v>
      </c>
      <c r="L141" s="44">
        <v>46185</v>
      </c>
      <c r="M141" s="45">
        <v>46234</v>
      </c>
      <c r="N141" s="44">
        <v>46234</v>
      </c>
      <c r="O141" s="20"/>
      <c r="P141" s="20"/>
      <c r="Q141" t="s">
        <v>262</v>
      </c>
    </row>
    <row r="142" spans="1:17" ht="15.75" customHeight="1">
      <c r="A142" s="20" t="s">
        <v>143</v>
      </c>
      <c r="B142" s="21" t="s">
        <v>19</v>
      </c>
      <c r="C142" s="21" t="s">
        <v>11</v>
      </c>
      <c r="D142" s="21" t="s">
        <v>15</v>
      </c>
      <c r="E142" s="21" t="s">
        <v>33</v>
      </c>
      <c r="F142" s="21" t="s">
        <v>30</v>
      </c>
      <c r="G142" s="21" t="s">
        <v>31</v>
      </c>
      <c r="H142" s="21" t="s">
        <v>28</v>
      </c>
      <c r="I142" s="19">
        <v>86600</v>
      </c>
      <c r="J142" s="22">
        <v>1</v>
      </c>
      <c r="K142" s="19">
        <f t="shared" si="3"/>
        <v>86600</v>
      </c>
      <c r="L142" s="44">
        <v>46182</v>
      </c>
      <c r="M142" s="45">
        <v>46206</v>
      </c>
      <c r="N142" s="44">
        <v>46206</v>
      </c>
      <c r="O142" s="20"/>
      <c r="P142" s="20"/>
      <c r="Q142" t="s">
        <v>263</v>
      </c>
    </row>
    <row r="143" spans="1:17" ht="15.75" customHeight="1">
      <c r="A143" s="20" t="s">
        <v>264</v>
      </c>
      <c r="B143" s="21" t="s">
        <v>17</v>
      </c>
      <c r="C143" s="21" t="s">
        <v>11</v>
      </c>
      <c r="D143" s="21" t="s">
        <v>15</v>
      </c>
      <c r="E143" s="21" t="s">
        <v>33</v>
      </c>
      <c r="F143" s="21" t="s">
        <v>30</v>
      </c>
      <c r="G143" s="21" t="s">
        <v>35</v>
      </c>
      <c r="H143" s="21" t="s">
        <v>36</v>
      </c>
      <c r="I143" s="19">
        <v>87480</v>
      </c>
      <c r="J143" s="22">
        <v>1</v>
      </c>
      <c r="K143" s="19">
        <f t="shared" si="3"/>
        <v>87480</v>
      </c>
      <c r="L143" s="44">
        <v>46189</v>
      </c>
      <c r="M143" s="45">
        <v>46230</v>
      </c>
      <c r="N143" s="44">
        <v>46230</v>
      </c>
      <c r="O143" s="20"/>
      <c r="P143" s="20"/>
      <c r="Q143" t="s">
        <v>265</v>
      </c>
    </row>
    <row r="144" spans="1:17" ht="15.75" customHeight="1">
      <c r="A144" s="20" t="s">
        <v>266</v>
      </c>
      <c r="B144" s="21" t="s">
        <v>17</v>
      </c>
      <c r="C144" s="21" t="s">
        <v>11</v>
      </c>
      <c r="D144" s="21" t="s">
        <v>8</v>
      </c>
      <c r="E144" s="21" t="s">
        <v>33</v>
      </c>
      <c r="F144" s="21" t="s">
        <v>30</v>
      </c>
      <c r="G144" s="21" t="s">
        <v>35</v>
      </c>
      <c r="H144" s="21" t="s">
        <v>38</v>
      </c>
      <c r="I144" s="19">
        <v>719500</v>
      </c>
      <c r="J144" s="22">
        <v>1</v>
      </c>
      <c r="K144" s="19">
        <f t="shared" si="3"/>
        <v>719500</v>
      </c>
      <c r="L144" s="44">
        <v>46203</v>
      </c>
      <c r="M144" s="45">
        <v>46233</v>
      </c>
      <c r="N144" s="44">
        <v>46233</v>
      </c>
      <c r="O144" s="20"/>
      <c r="P144" s="20"/>
      <c r="Q144" t="s">
        <v>267</v>
      </c>
    </row>
    <row r="145" spans="1:17" ht="15.75" customHeight="1">
      <c r="A145" s="20" t="s">
        <v>268</v>
      </c>
      <c r="B145" s="21" t="s">
        <v>19</v>
      </c>
      <c r="C145" s="21" t="s">
        <v>11</v>
      </c>
      <c r="D145" s="21" t="s">
        <v>8</v>
      </c>
      <c r="E145" s="21" t="s">
        <v>33</v>
      </c>
      <c r="F145" s="21" t="s">
        <v>30</v>
      </c>
      <c r="G145" s="21" t="s">
        <v>31</v>
      </c>
      <c r="H145" s="21"/>
      <c r="I145" s="19">
        <v>678610</v>
      </c>
      <c r="J145" s="22">
        <v>1</v>
      </c>
      <c r="K145" s="19">
        <f t="shared" si="3"/>
        <v>678610</v>
      </c>
      <c r="L145" s="44">
        <v>46111</v>
      </c>
      <c r="M145" s="45">
        <v>46188</v>
      </c>
      <c r="N145" s="44">
        <v>46188</v>
      </c>
      <c r="O145" s="20"/>
      <c r="P145" s="20"/>
      <c r="Q145" t="s">
        <v>269</v>
      </c>
    </row>
    <row r="146" spans="1:17" ht="15.75" customHeight="1">
      <c r="A146" s="20" t="s">
        <v>270</v>
      </c>
      <c r="B146" s="21" t="s">
        <v>6</v>
      </c>
      <c r="C146" s="21" t="s">
        <v>11</v>
      </c>
      <c r="D146" s="21" t="s">
        <v>12</v>
      </c>
      <c r="E146" s="21" t="s">
        <v>25</v>
      </c>
      <c r="F146" s="21" t="s">
        <v>30</v>
      </c>
      <c r="G146" s="21" t="s">
        <v>35</v>
      </c>
      <c r="H146" s="21" t="s">
        <v>38</v>
      </c>
      <c r="I146" s="19">
        <v>270000</v>
      </c>
      <c r="J146" s="22">
        <v>0.5</v>
      </c>
      <c r="K146" s="19">
        <f t="shared" si="3"/>
        <v>135000</v>
      </c>
      <c r="L146" s="44">
        <v>46266</v>
      </c>
      <c r="M146" s="45"/>
      <c r="N146" s="44"/>
      <c r="O146" s="20"/>
      <c r="P146" s="20"/>
      <c r="Q146" t="s">
        <v>271</v>
      </c>
    </row>
    <row r="147" spans="1:17" ht="15.75" customHeight="1">
      <c r="A147" s="20" t="s">
        <v>272</v>
      </c>
      <c r="B147" s="21" t="s">
        <v>6</v>
      </c>
      <c r="C147" s="21" t="s">
        <v>11</v>
      </c>
      <c r="D147" s="21" t="s">
        <v>8</v>
      </c>
      <c r="E147" s="21" t="s">
        <v>33</v>
      </c>
      <c r="F147" s="21" t="s">
        <v>30</v>
      </c>
      <c r="G147" s="21" t="s">
        <v>35</v>
      </c>
      <c r="H147" s="21" t="s">
        <v>38</v>
      </c>
      <c r="I147" s="19">
        <v>872745</v>
      </c>
      <c r="J147" s="22">
        <v>0.8</v>
      </c>
      <c r="K147" s="19">
        <f t="shared" si="3"/>
        <v>698196</v>
      </c>
      <c r="L147" s="44">
        <v>46213</v>
      </c>
      <c r="M147" s="45">
        <v>46249</v>
      </c>
      <c r="N147" s="44">
        <v>46249</v>
      </c>
      <c r="O147" s="20"/>
      <c r="P147" s="20"/>
      <c r="Q147" t="s">
        <v>273</v>
      </c>
    </row>
    <row r="148" spans="1:17" ht="15.75" customHeight="1">
      <c r="A148" s="20" t="s">
        <v>274</v>
      </c>
      <c r="B148" s="21" t="s">
        <v>6</v>
      </c>
      <c r="C148" s="21" t="s">
        <v>11</v>
      </c>
      <c r="D148" s="21" t="s">
        <v>8</v>
      </c>
      <c r="E148" s="21" t="s">
        <v>33</v>
      </c>
      <c r="F148" s="21" t="s">
        <v>30</v>
      </c>
      <c r="G148" s="21" t="s">
        <v>35</v>
      </c>
      <c r="H148" s="21" t="s">
        <v>38</v>
      </c>
      <c r="I148" s="19">
        <v>2800000</v>
      </c>
      <c r="J148" s="22">
        <v>0.8</v>
      </c>
      <c r="K148" s="19">
        <f t="shared" si="3"/>
        <v>2240000</v>
      </c>
      <c r="L148" s="44">
        <v>46235</v>
      </c>
      <c r="M148" s="45"/>
      <c r="N148" s="44"/>
      <c r="O148" s="20"/>
      <c r="P148" s="20"/>
      <c r="Q148" t="s">
        <v>275</v>
      </c>
    </row>
    <row r="149" spans="1:17" ht="15.75" customHeight="1">
      <c r="A149" s="20" t="s">
        <v>276</v>
      </c>
      <c r="B149" s="21" t="s">
        <v>17</v>
      </c>
      <c r="C149" s="21" t="s">
        <v>11</v>
      </c>
      <c r="D149" s="21" t="s">
        <v>12</v>
      </c>
      <c r="E149" s="21" t="s">
        <v>33</v>
      </c>
      <c r="F149" s="21" t="s">
        <v>30</v>
      </c>
      <c r="G149" s="21" t="s">
        <v>35</v>
      </c>
      <c r="H149" s="21" t="s">
        <v>36</v>
      </c>
      <c r="I149" s="19">
        <v>119840</v>
      </c>
      <c r="J149" s="22">
        <v>1</v>
      </c>
      <c r="K149" s="19">
        <f t="shared" si="3"/>
        <v>119840</v>
      </c>
      <c r="L149" s="44">
        <v>46189</v>
      </c>
      <c r="M149" s="45">
        <v>46216</v>
      </c>
      <c r="N149" s="44">
        <v>46216</v>
      </c>
      <c r="O149" s="20"/>
      <c r="P149" s="20"/>
      <c r="Q149" t="s">
        <v>277</v>
      </c>
    </row>
    <row r="150" spans="1:17" ht="15.75" customHeight="1">
      <c r="A150" s="20" t="s">
        <v>278</v>
      </c>
      <c r="B150" s="21" t="s">
        <v>17</v>
      </c>
      <c r="C150" s="21" t="s">
        <v>11</v>
      </c>
      <c r="D150" s="21" t="s">
        <v>15</v>
      </c>
      <c r="E150" s="21" t="s">
        <v>33</v>
      </c>
      <c r="F150" s="21" t="s">
        <v>30</v>
      </c>
      <c r="G150" s="21" t="s">
        <v>35</v>
      </c>
      <c r="H150" s="21" t="s">
        <v>36</v>
      </c>
      <c r="I150" s="19">
        <v>85295</v>
      </c>
      <c r="J150" s="22">
        <v>1</v>
      </c>
      <c r="K150" s="19">
        <f t="shared" si="3"/>
        <v>85295</v>
      </c>
      <c r="L150" s="44">
        <v>46189</v>
      </c>
      <c r="M150" s="45">
        <v>46211</v>
      </c>
      <c r="N150" s="44">
        <v>46211</v>
      </c>
      <c r="O150" s="20"/>
      <c r="P150" s="20"/>
      <c r="Q150" t="s">
        <v>279</v>
      </c>
    </row>
    <row r="151" spans="1:17" ht="15.75" customHeight="1">
      <c r="A151" s="20" t="s">
        <v>280</v>
      </c>
      <c r="B151" s="21" t="s">
        <v>17</v>
      </c>
      <c r="C151" s="21" t="s">
        <v>11</v>
      </c>
      <c r="D151" s="21" t="s">
        <v>12</v>
      </c>
      <c r="E151" s="21" t="s">
        <v>33</v>
      </c>
      <c r="F151" s="21" t="s">
        <v>30</v>
      </c>
      <c r="G151" s="21" t="s">
        <v>35</v>
      </c>
      <c r="H151" s="21" t="s">
        <v>36</v>
      </c>
      <c r="I151" s="19">
        <v>263705</v>
      </c>
      <c r="J151" s="22">
        <v>1</v>
      </c>
      <c r="K151" s="19">
        <f t="shared" si="3"/>
        <v>263705</v>
      </c>
      <c r="L151" s="46">
        <v>46192</v>
      </c>
      <c r="M151" s="45">
        <v>46213</v>
      </c>
      <c r="N151" s="44">
        <v>46213</v>
      </c>
      <c r="O151" s="20"/>
      <c r="P151" s="20"/>
      <c r="Q151" t="s">
        <v>281</v>
      </c>
    </row>
    <row r="152" spans="1:17" ht="15.75" customHeight="1">
      <c r="A152" s="20" t="s">
        <v>282</v>
      </c>
      <c r="B152" s="21" t="s">
        <v>17</v>
      </c>
      <c r="C152" s="21" t="s">
        <v>7</v>
      </c>
      <c r="D152" s="21" t="s">
        <v>15</v>
      </c>
      <c r="E152" s="21" t="s">
        <v>29</v>
      </c>
      <c r="F152" s="21" t="s">
        <v>30</v>
      </c>
      <c r="G152" s="21" t="s">
        <v>31</v>
      </c>
      <c r="H152" s="21" t="s">
        <v>38</v>
      </c>
      <c r="I152" s="19">
        <v>38000</v>
      </c>
      <c r="J152" s="22">
        <v>1</v>
      </c>
      <c r="K152" s="19">
        <f t="shared" si="3"/>
        <v>38000</v>
      </c>
      <c r="L152" s="46">
        <v>46192</v>
      </c>
      <c r="M152" s="45">
        <v>46222</v>
      </c>
      <c r="N152" s="46">
        <v>46222</v>
      </c>
      <c r="O152" s="20"/>
      <c r="P152" s="20"/>
      <c r="Q152" t="s">
        <v>283</v>
      </c>
    </row>
    <row r="153" spans="1:17" ht="15.75" customHeight="1">
      <c r="A153" s="20" t="s">
        <v>249</v>
      </c>
      <c r="B153" s="21" t="s">
        <v>17</v>
      </c>
      <c r="C153" s="21" t="s">
        <v>11</v>
      </c>
      <c r="D153" s="21" t="s">
        <v>15</v>
      </c>
      <c r="E153" s="21" t="s">
        <v>33</v>
      </c>
      <c r="F153" s="21" t="s">
        <v>30</v>
      </c>
      <c r="G153" s="21" t="s">
        <v>31</v>
      </c>
      <c r="H153" s="21" t="s">
        <v>28</v>
      </c>
      <c r="I153" s="19">
        <v>24156</v>
      </c>
      <c r="J153" s="22">
        <v>1</v>
      </c>
      <c r="K153" s="19">
        <f t="shared" si="3"/>
        <v>24156</v>
      </c>
      <c r="L153" s="46">
        <v>46192</v>
      </c>
      <c r="M153" s="45">
        <v>46222</v>
      </c>
      <c r="N153" s="46">
        <v>46222</v>
      </c>
      <c r="O153" s="20"/>
      <c r="P153" s="20"/>
      <c r="Q153" t="s">
        <v>284</v>
      </c>
    </row>
    <row r="154" spans="1:17" ht="15.75" customHeight="1">
      <c r="A154" s="20" t="s">
        <v>130</v>
      </c>
      <c r="B154" s="21" t="s">
        <v>17</v>
      </c>
      <c r="C154" s="21" t="s">
        <v>11</v>
      </c>
      <c r="D154" s="21" t="s">
        <v>8</v>
      </c>
      <c r="E154" s="21" t="s">
        <v>25</v>
      </c>
      <c r="F154" s="21" t="s">
        <v>30</v>
      </c>
      <c r="G154" s="21" t="s">
        <v>35</v>
      </c>
      <c r="H154" s="21" t="s">
        <v>38</v>
      </c>
      <c r="I154" s="19">
        <v>710280</v>
      </c>
      <c r="J154" s="22">
        <v>1</v>
      </c>
      <c r="K154" s="19">
        <f t="shared" si="3"/>
        <v>710280</v>
      </c>
      <c r="L154" s="46">
        <v>46190</v>
      </c>
      <c r="M154" s="45">
        <v>46248</v>
      </c>
      <c r="N154" s="46">
        <v>46248</v>
      </c>
      <c r="O154" s="20"/>
      <c r="P154" s="20"/>
      <c r="Q154" t="s">
        <v>285</v>
      </c>
    </row>
    <row r="155" spans="1:17" ht="15.75" customHeight="1">
      <c r="A155" s="20" t="s">
        <v>276</v>
      </c>
      <c r="B155" s="21" t="s">
        <v>19</v>
      </c>
      <c r="C155" s="21" t="s">
        <v>11</v>
      </c>
      <c r="D155" s="21" t="s">
        <v>8</v>
      </c>
      <c r="E155" s="21" t="s">
        <v>33</v>
      </c>
      <c r="F155" s="21" t="s">
        <v>30</v>
      </c>
      <c r="G155" s="21" t="s">
        <v>35</v>
      </c>
      <c r="H155" s="21" t="s">
        <v>36</v>
      </c>
      <c r="I155" s="19">
        <v>1164534</v>
      </c>
      <c r="J155" s="22">
        <v>1</v>
      </c>
      <c r="K155" s="19">
        <f t="shared" si="3"/>
        <v>1164534</v>
      </c>
      <c r="L155" s="44">
        <v>46153</v>
      </c>
      <c r="M155" s="45">
        <v>46196</v>
      </c>
      <c r="N155" s="44">
        <v>46196</v>
      </c>
      <c r="O155" s="20"/>
      <c r="P155" s="20"/>
      <c r="Q155" t="s">
        <v>286</v>
      </c>
    </row>
    <row r="156" spans="1:17" ht="15.75" customHeight="1">
      <c r="A156" s="20" t="s">
        <v>287</v>
      </c>
      <c r="B156" s="21" t="s">
        <v>17</v>
      </c>
      <c r="C156" s="21" t="s">
        <v>11</v>
      </c>
      <c r="D156" s="21" t="s">
        <v>15</v>
      </c>
      <c r="E156" s="21" t="s">
        <v>33</v>
      </c>
      <c r="F156" s="21" t="s">
        <v>30</v>
      </c>
      <c r="G156" s="21" t="s">
        <v>35</v>
      </c>
      <c r="H156" s="21" t="s">
        <v>36</v>
      </c>
      <c r="I156" s="19">
        <v>66305</v>
      </c>
      <c r="J156" s="22">
        <v>1</v>
      </c>
      <c r="K156" s="19">
        <f t="shared" si="3"/>
        <v>66305</v>
      </c>
      <c r="L156" s="44">
        <v>46198</v>
      </c>
      <c r="M156" s="45">
        <v>46220</v>
      </c>
      <c r="N156" s="44">
        <v>46220</v>
      </c>
      <c r="O156" s="20"/>
      <c r="P156" s="20"/>
      <c r="Q156" t="s">
        <v>288</v>
      </c>
    </row>
    <row r="157" spans="1:17" ht="15.75" customHeight="1">
      <c r="A157" s="20" t="s">
        <v>289</v>
      </c>
      <c r="B157" s="21" t="s">
        <v>6</v>
      </c>
      <c r="C157" s="21" t="s">
        <v>7</v>
      </c>
      <c r="D157" s="21" t="s">
        <v>8</v>
      </c>
      <c r="E157" s="21" t="s">
        <v>25</v>
      </c>
      <c r="F157" s="21" t="s">
        <v>30</v>
      </c>
      <c r="G157" s="21" t="s">
        <v>35</v>
      </c>
      <c r="H157" s="21" t="s">
        <v>38</v>
      </c>
      <c r="I157" s="19">
        <v>1197480</v>
      </c>
      <c r="J157" s="22">
        <v>0.8</v>
      </c>
      <c r="K157" s="19">
        <f t="shared" si="3"/>
        <v>957984</v>
      </c>
      <c r="L157" s="44">
        <v>46213</v>
      </c>
      <c r="M157" s="45">
        <v>46249</v>
      </c>
      <c r="N157" s="44">
        <v>46249</v>
      </c>
      <c r="O157" s="20"/>
      <c r="P157" s="20"/>
      <c r="Q157" t="s">
        <v>290</v>
      </c>
    </row>
    <row r="158" spans="1:17" ht="15.75" customHeight="1">
      <c r="A158" s="20" t="s">
        <v>291</v>
      </c>
      <c r="B158" s="21" t="s">
        <v>6</v>
      </c>
      <c r="C158" s="21" t="s">
        <v>11</v>
      </c>
      <c r="D158" s="21" t="s">
        <v>12</v>
      </c>
      <c r="E158" s="21" t="s">
        <v>33</v>
      </c>
      <c r="F158" s="21" t="s">
        <v>30</v>
      </c>
      <c r="G158" s="21" t="s">
        <v>35</v>
      </c>
      <c r="H158" s="21" t="s">
        <v>36</v>
      </c>
      <c r="I158" s="19">
        <v>275330</v>
      </c>
      <c r="J158" s="22">
        <v>1</v>
      </c>
      <c r="K158" s="19">
        <f t="shared" si="3"/>
        <v>275330</v>
      </c>
      <c r="L158" s="44">
        <v>46223</v>
      </c>
      <c r="M158" s="45"/>
      <c r="N158" s="47"/>
      <c r="O158" s="20"/>
      <c r="P158" s="20"/>
      <c r="Q158" t="s">
        <v>292</v>
      </c>
    </row>
    <row r="159" spans="1:17" ht="15.75" customHeight="1">
      <c r="A159" s="20" t="s">
        <v>126</v>
      </c>
      <c r="B159" s="21" t="s">
        <v>17</v>
      </c>
      <c r="C159" s="21" t="s">
        <v>11</v>
      </c>
      <c r="D159" s="21" t="s">
        <v>15</v>
      </c>
      <c r="E159" s="21" t="s">
        <v>33</v>
      </c>
      <c r="F159" s="21" t="s">
        <v>30</v>
      </c>
      <c r="G159" s="21" t="s">
        <v>35</v>
      </c>
      <c r="H159" s="21" t="s">
        <v>36</v>
      </c>
      <c r="I159" s="19">
        <v>97855</v>
      </c>
      <c r="J159" s="22">
        <v>1</v>
      </c>
      <c r="K159" s="19">
        <f t="shared" si="3"/>
        <v>97855</v>
      </c>
      <c r="L159" s="44">
        <v>46212</v>
      </c>
      <c r="M159" s="45">
        <v>46244</v>
      </c>
      <c r="N159" s="44">
        <v>46244</v>
      </c>
      <c r="O159" s="20"/>
      <c r="P159" s="20"/>
      <c r="Q159" t="s">
        <v>293</v>
      </c>
    </row>
    <row r="160" spans="1:17" ht="15.75" customHeight="1">
      <c r="A160" s="20" t="s">
        <v>294</v>
      </c>
      <c r="B160" s="21" t="s">
        <v>17</v>
      </c>
      <c r="C160" s="21" t="s">
        <v>11</v>
      </c>
      <c r="D160" s="21" t="s">
        <v>15</v>
      </c>
      <c r="E160" s="21" t="s">
        <v>33</v>
      </c>
      <c r="F160" s="21" t="s">
        <v>30</v>
      </c>
      <c r="G160" s="21" t="s">
        <v>35</v>
      </c>
      <c r="H160" s="21" t="s">
        <v>36</v>
      </c>
      <c r="I160" s="19">
        <v>60715</v>
      </c>
      <c r="J160" s="22">
        <v>1</v>
      </c>
      <c r="K160" s="19">
        <f t="shared" si="3"/>
        <v>60715</v>
      </c>
      <c r="L160" s="44">
        <v>46212</v>
      </c>
      <c r="M160" s="45">
        <v>46244</v>
      </c>
      <c r="N160" s="44">
        <v>46244</v>
      </c>
      <c r="O160" s="20"/>
      <c r="P160" s="20"/>
      <c r="Q160" t="s">
        <v>295</v>
      </c>
    </row>
    <row r="161" spans="1:17" ht="15.75" customHeight="1">
      <c r="A161" s="20" t="s">
        <v>291</v>
      </c>
      <c r="B161" s="21" t="s">
        <v>17</v>
      </c>
      <c r="C161" s="21" t="s">
        <v>11</v>
      </c>
      <c r="D161" s="21" t="s">
        <v>12</v>
      </c>
      <c r="E161" s="21" t="s">
        <v>33</v>
      </c>
      <c r="F161" s="21" t="s">
        <v>30</v>
      </c>
      <c r="G161" s="21" t="s">
        <v>35</v>
      </c>
      <c r="H161" s="21" t="s">
        <v>36</v>
      </c>
      <c r="I161" s="19">
        <v>295405</v>
      </c>
      <c r="J161" s="22">
        <v>1</v>
      </c>
      <c r="K161" s="19">
        <f t="shared" si="3"/>
        <v>295405</v>
      </c>
      <c r="L161" s="44">
        <v>46212</v>
      </c>
      <c r="M161" s="45">
        <v>46229</v>
      </c>
      <c r="N161" s="44">
        <v>46229</v>
      </c>
      <c r="O161" s="20"/>
      <c r="P161" s="20"/>
      <c r="Q161" t="s">
        <v>296</v>
      </c>
    </row>
    <row r="162" spans="1:17" ht="15.75" customHeight="1">
      <c r="A162" s="20"/>
      <c r="B162" s="21"/>
      <c r="C162" s="21"/>
      <c r="D162" s="21"/>
      <c r="E162" s="21"/>
      <c r="F162" s="21"/>
      <c r="G162" s="21"/>
      <c r="H162" s="21"/>
      <c r="I162" s="19"/>
      <c r="J162" s="22"/>
      <c r="K162" s="19">
        <f t="shared" si="3"/>
        <v>0</v>
      </c>
      <c r="L162" s="47"/>
      <c r="M162" s="45"/>
      <c r="N162" s="47"/>
      <c r="O162" s="20"/>
      <c r="P162" s="20"/>
    </row>
    <row r="163" spans="1:17" ht="15.75" customHeight="1">
      <c r="A163" s="20"/>
      <c r="B163" s="21"/>
      <c r="C163" s="21"/>
      <c r="D163" s="21"/>
      <c r="E163" s="21"/>
      <c r="F163" s="21"/>
      <c r="G163" s="21"/>
      <c r="H163" s="21"/>
      <c r="I163" s="19"/>
      <c r="J163" s="22"/>
      <c r="K163" s="19">
        <f t="shared" si="3"/>
        <v>0</v>
      </c>
      <c r="L163" s="47"/>
      <c r="M163" s="45"/>
      <c r="N163" s="47"/>
      <c r="O163" s="20"/>
      <c r="P163" s="20"/>
    </row>
    <row r="164" spans="1:17" ht="15.75" customHeight="1">
      <c r="A164" s="20"/>
      <c r="B164" s="21"/>
      <c r="C164" s="21"/>
      <c r="D164" s="21"/>
      <c r="E164" s="21"/>
      <c r="F164" s="21"/>
      <c r="G164" s="21"/>
      <c r="H164" s="21"/>
      <c r="I164" s="19"/>
      <c r="J164" s="22"/>
      <c r="K164" s="19">
        <f t="shared" si="3"/>
        <v>0</v>
      </c>
      <c r="L164" s="47"/>
      <c r="M164" s="45"/>
      <c r="N164" s="47"/>
      <c r="O164" s="20"/>
      <c r="P164" s="20"/>
    </row>
    <row r="165" spans="1:17" ht="15.75" customHeight="1">
      <c r="A165" s="20"/>
      <c r="B165" s="21"/>
      <c r="C165" s="21"/>
      <c r="D165" s="21"/>
      <c r="E165" s="21"/>
      <c r="F165" s="21"/>
      <c r="G165" s="21"/>
      <c r="H165" s="21"/>
      <c r="I165" s="19"/>
      <c r="J165" s="22"/>
      <c r="K165" s="19">
        <f t="shared" si="3"/>
        <v>0</v>
      </c>
      <c r="L165" s="47"/>
      <c r="M165" s="45"/>
      <c r="N165" s="47"/>
      <c r="O165" s="20"/>
      <c r="P165" s="20"/>
    </row>
    <row r="166" spans="1:17" ht="15.75" customHeight="1">
      <c r="A166" s="20"/>
      <c r="B166" s="21"/>
      <c r="C166" s="21"/>
      <c r="D166" s="21"/>
      <c r="E166" s="21"/>
      <c r="F166" s="21"/>
      <c r="G166" s="21"/>
      <c r="H166" s="21"/>
      <c r="I166" s="19"/>
      <c r="J166" s="22"/>
      <c r="K166" s="19">
        <f t="shared" si="3"/>
        <v>0</v>
      </c>
      <c r="L166" s="47"/>
      <c r="M166" s="45"/>
      <c r="N166" s="47"/>
      <c r="O166" s="20"/>
      <c r="P166" s="20"/>
    </row>
    <row r="167" spans="1:17" ht="15.75" customHeight="1">
      <c r="A167" s="20"/>
      <c r="B167" s="21"/>
      <c r="C167" s="21"/>
      <c r="D167" s="21"/>
      <c r="E167" s="21"/>
      <c r="F167" s="21"/>
      <c r="G167" s="21"/>
      <c r="H167" s="21"/>
      <c r="I167" s="19"/>
      <c r="J167" s="22"/>
      <c r="K167" s="19">
        <f t="shared" si="3"/>
        <v>0</v>
      </c>
      <c r="L167" s="48"/>
      <c r="M167" s="45"/>
      <c r="N167" s="48"/>
      <c r="O167" s="20"/>
      <c r="P167" s="20"/>
    </row>
    <row r="168" spans="1:17" ht="15.75" customHeight="1">
      <c r="A168" s="20"/>
      <c r="B168" s="21"/>
      <c r="C168" s="21"/>
      <c r="D168" s="21"/>
      <c r="E168" s="21"/>
      <c r="F168" s="21"/>
      <c r="G168" s="21"/>
      <c r="H168" s="21"/>
      <c r="I168" s="19"/>
      <c r="J168" s="22"/>
      <c r="K168" s="19">
        <f t="shared" si="3"/>
        <v>0</v>
      </c>
      <c r="L168" s="48"/>
      <c r="M168" s="45"/>
      <c r="N168" s="48"/>
      <c r="O168" s="20"/>
      <c r="P168" s="20"/>
    </row>
    <row r="169" spans="1:17" ht="15.75" customHeight="1">
      <c r="A169" s="20"/>
      <c r="B169" s="21"/>
      <c r="C169" s="21"/>
      <c r="D169" s="21"/>
      <c r="E169" s="21"/>
      <c r="F169" s="21"/>
      <c r="G169" s="21"/>
      <c r="H169" s="21"/>
      <c r="I169" s="19"/>
      <c r="J169" s="22"/>
      <c r="K169" s="19">
        <f t="shared" si="3"/>
        <v>0</v>
      </c>
      <c r="L169" s="48"/>
      <c r="M169" s="45"/>
      <c r="N169" s="48"/>
      <c r="O169" s="20"/>
      <c r="P169" s="20"/>
    </row>
    <row r="170" spans="1:17" ht="15.75" customHeight="1">
      <c r="A170" s="20"/>
      <c r="B170" s="21"/>
      <c r="C170" s="21"/>
      <c r="D170" s="21"/>
      <c r="E170" s="21"/>
      <c r="F170" s="21"/>
      <c r="G170" s="21"/>
      <c r="H170" s="21"/>
      <c r="I170" s="19"/>
      <c r="J170" s="22"/>
      <c r="K170" s="19">
        <f t="shared" ref="K170:K201" si="4">IF(I170="",0,I170*J170)</f>
        <v>0</v>
      </c>
      <c r="L170" s="48"/>
      <c r="M170" s="45"/>
      <c r="N170" s="48"/>
      <c r="O170" s="20"/>
      <c r="P170" s="20"/>
    </row>
    <row r="171" spans="1:17" ht="15.75" customHeight="1">
      <c r="A171" s="20"/>
      <c r="B171" s="21"/>
      <c r="C171" s="21"/>
      <c r="D171" s="21"/>
      <c r="E171" s="21"/>
      <c r="F171" s="21"/>
      <c r="G171" s="21"/>
      <c r="H171" s="21"/>
      <c r="I171" s="19"/>
      <c r="J171" s="22"/>
      <c r="K171" s="19">
        <f t="shared" si="4"/>
        <v>0</v>
      </c>
      <c r="L171" s="48"/>
      <c r="M171" s="45"/>
      <c r="N171" s="48"/>
      <c r="O171" s="20"/>
      <c r="P171" s="20"/>
    </row>
    <row r="172" spans="1:17" ht="15.75" customHeight="1">
      <c r="A172" s="20"/>
      <c r="B172" s="21"/>
      <c r="C172" s="21"/>
      <c r="D172" s="21"/>
      <c r="E172" s="21"/>
      <c r="F172" s="21"/>
      <c r="G172" s="21"/>
      <c r="H172" s="21"/>
      <c r="I172" s="19"/>
      <c r="J172" s="22"/>
      <c r="K172" s="19">
        <f t="shared" si="4"/>
        <v>0</v>
      </c>
      <c r="L172" s="48"/>
      <c r="M172" s="45"/>
      <c r="N172" s="48"/>
      <c r="O172" s="20"/>
      <c r="P172" s="20"/>
    </row>
    <row r="173" spans="1:17" ht="15.75" customHeight="1">
      <c r="A173" s="20"/>
      <c r="B173" s="21"/>
      <c r="C173" s="21"/>
      <c r="D173" s="21"/>
      <c r="E173" s="21"/>
      <c r="F173" s="21"/>
      <c r="G173" s="21"/>
      <c r="H173" s="21"/>
      <c r="I173" s="19"/>
      <c r="J173" s="22"/>
      <c r="K173" s="19">
        <f t="shared" si="4"/>
        <v>0</v>
      </c>
      <c r="L173" s="48"/>
      <c r="M173" s="45"/>
      <c r="N173" s="48"/>
      <c r="O173" s="20"/>
      <c r="P173" s="20"/>
    </row>
    <row r="174" spans="1:17" ht="15.75" customHeight="1">
      <c r="A174" s="20"/>
      <c r="B174" s="21"/>
      <c r="C174" s="21"/>
      <c r="D174" s="21"/>
      <c r="E174" s="21"/>
      <c r="F174" s="21"/>
      <c r="G174" s="21"/>
      <c r="H174" s="21"/>
      <c r="I174" s="19"/>
      <c r="J174" s="22"/>
      <c r="K174" s="19">
        <f t="shared" si="4"/>
        <v>0</v>
      </c>
      <c r="L174" s="48"/>
      <c r="M174" s="45"/>
      <c r="N174" s="48"/>
      <c r="O174" s="20"/>
      <c r="P174" s="20"/>
    </row>
    <row r="175" spans="1:17" ht="15.75" customHeight="1">
      <c r="A175" s="20"/>
      <c r="B175" s="21"/>
      <c r="C175" s="21"/>
      <c r="D175" s="21"/>
      <c r="E175" s="21"/>
      <c r="F175" s="21"/>
      <c r="G175" s="21"/>
      <c r="H175" s="21"/>
      <c r="I175" s="19"/>
      <c r="J175" s="22"/>
      <c r="K175" s="19">
        <f t="shared" si="4"/>
        <v>0</v>
      </c>
      <c r="L175" s="48"/>
      <c r="M175" s="45"/>
      <c r="N175" s="48"/>
      <c r="O175" s="20"/>
      <c r="P175" s="20"/>
    </row>
    <row r="176" spans="1:17" ht="15.75" customHeight="1">
      <c r="A176" s="20"/>
      <c r="B176" s="21"/>
      <c r="C176" s="21"/>
      <c r="D176" s="21"/>
      <c r="E176" s="21"/>
      <c r="F176" s="21"/>
      <c r="G176" s="21"/>
      <c r="H176" s="21"/>
      <c r="I176" s="19"/>
      <c r="J176" s="22"/>
      <c r="K176" s="19">
        <f t="shared" si="4"/>
        <v>0</v>
      </c>
      <c r="L176" s="48"/>
      <c r="M176" s="45"/>
      <c r="N176" s="48"/>
      <c r="O176" s="20"/>
      <c r="P176" s="20"/>
    </row>
    <row r="177" spans="1:16" ht="15.75" customHeight="1">
      <c r="A177" s="20"/>
      <c r="B177" s="21"/>
      <c r="C177" s="21"/>
      <c r="D177" s="21"/>
      <c r="E177" s="21"/>
      <c r="F177" s="21"/>
      <c r="G177" s="21"/>
      <c r="H177" s="21"/>
      <c r="I177" s="19"/>
      <c r="J177" s="22"/>
      <c r="K177" s="19">
        <f t="shared" si="4"/>
        <v>0</v>
      </c>
      <c r="L177" s="48"/>
      <c r="M177" s="45"/>
      <c r="N177" s="48"/>
      <c r="O177" s="20"/>
      <c r="P177" s="20"/>
    </row>
    <row r="178" spans="1:16" ht="15.75" customHeight="1">
      <c r="A178" s="20"/>
      <c r="B178" s="21"/>
      <c r="C178" s="21"/>
      <c r="D178" s="21"/>
      <c r="E178" s="21"/>
      <c r="F178" s="21"/>
      <c r="G178" s="21"/>
      <c r="H178" s="21"/>
      <c r="I178" s="19"/>
      <c r="J178" s="22"/>
      <c r="K178" s="19">
        <f t="shared" si="4"/>
        <v>0</v>
      </c>
      <c r="L178" s="48"/>
      <c r="M178" s="45"/>
      <c r="N178" s="48"/>
      <c r="O178" s="20"/>
      <c r="P178" s="20"/>
    </row>
    <row r="179" spans="1:16" ht="15.75" customHeight="1">
      <c r="A179" s="20"/>
      <c r="B179" s="21"/>
      <c r="C179" s="21"/>
      <c r="D179" s="21"/>
      <c r="E179" s="21"/>
      <c r="F179" s="21"/>
      <c r="G179" s="21"/>
      <c r="H179" s="21"/>
      <c r="I179" s="19"/>
      <c r="J179" s="22"/>
      <c r="K179" s="19">
        <f t="shared" si="4"/>
        <v>0</v>
      </c>
      <c r="L179" s="48"/>
      <c r="M179" s="45"/>
      <c r="N179" s="48"/>
      <c r="O179" s="20"/>
      <c r="P179" s="20"/>
    </row>
    <row r="180" spans="1:16" ht="15.75" customHeight="1">
      <c r="A180" s="20"/>
      <c r="B180" s="21"/>
      <c r="C180" s="21"/>
      <c r="D180" s="21"/>
      <c r="E180" s="21"/>
      <c r="F180" s="21"/>
      <c r="G180" s="21"/>
      <c r="H180" s="21"/>
      <c r="I180" s="19"/>
      <c r="J180" s="22"/>
      <c r="K180" s="19">
        <f t="shared" si="4"/>
        <v>0</v>
      </c>
      <c r="L180" s="48"/>
      <c r="M180" s="45"/>
      <c r="N180" s="48"/>
      <c r="O180" s="20"/>
      <c r="P180" s="20"/>
    </row>
    <row r="181" spans="1:16" ht="15.75" customHeight="1">
      <c r="A181" s="20"/>
      <c r="B181" s="21"/>
      <c r="C181" s="21"/>
      <c r="D181" s="21"/>
      <c r="E181" s="21"/>
      <c r="F181" s="21"/>
      <c r="G181" s="21"/>
      <c r="H181" s="21"/>
      <c r="I181" s="19"/>
      <c r="J181" s="22"/>
      <c r="K181" s="19">
        <f t="shared" si="4"/>
        <v>0</v>
      </c>
      <c r="L181" s="48"/>
      <c r="M181" s="45"/>
      <c r="N181" s="48"/>
      <c r="O181" s="20"/>
      <c r="P181" s="20"/>
    </row>
    <row r="182" spans="1:16" ht="15.75" customHeight="1">
      <c r="A182" s="20"/>
      <c r="B182" s="21"/>
      <c r="C182" s="21"/>
      <c r="D182" s="21"/>
      <c r="E182" s="21"/>
      <c r="F182" s="21"/>
      <c r="G182" s="21"/>
      <c r="H182" s="21"/>
      <c r="I182" s="19"/>
      <c r="J182" s="22"/>
      <c r="K182" s="19">
        <f t="shared" si="4"/>
        <v>0</v>
      </c>
      <c r="L182" s="48"/>
      <c r="M182" s="45"/>
      <c r="N182" s="48"/>
      <c r="O182" s="20"/>
      <c r="P182" s="20"/>
    </row>
    <row r="183" spans="1:16" ht="15.75" customHeight="1">
      <c r="A183" s="20"/>
      <c r="B183" s="21"/>
      <c r="C183" s="21"/>
      <c r="D183" s="21"/>
      <c r="E183" s="21"/>
      <c r="F183" s="21"/>
      <c r="G183" s="21"/>
      <c r="H183" s="21"/>
      <c r="I183" s="19"/>
      <c r="J183" s="22"/>
      <c r="K183" s="19">
        <f t="shared" si="4"/>
        <v>0</v>
      </c>
      <c r="L183" s="48"/>
      <c r="M183" s="45"/>
      <c r="N183" s="48"/>
      <c r="O183" s="20"/>
      <c r="P183" s="20"/>
    </row>
    <row r="184" spans="1:16" ht="15.75" customHeight="1">
      <c r="A184" s="20"/>
      <c r="B184" s="21"/>
      <c r="C184" s="21"/>
      <c r="D184" s="21"/>
      <c r="E184" s="21"/>
      <c r="F184" s="21"/>
      <c r="G184" s="21"/>
      <c r="H184" s="21"/>
      <c r="I184" s="19"/>
      <c r="J184" s="22"/>
      <c r="K184" s="19">
        <f t="shared" si="4"/>
        <v>0</v>
      </c>
      <c r="L184" s="48"/>
      <c r="M184" s="45"/>
      <c r="N184" s="48"/>
      <c r="O184" s="20"/>
      <c r="P184" s="20"/>
    </row>
    <row r="185" spans="1:16" ht="15.75" customHeight="1">
      <c r="A185" s="20"/>
      <c r="B185" s="21"/>
      <c r="C185" s="21"/>
      <c r="D185" s="21"/>
      <c r="E185" s="21"/>
      <c r="F185" s="21"/>
      <c r="G185" s="21"/>
      <c r="H185" s="21"/>
      <c r="I185" s="19"/>
      <c r="J185" s="22"/>
      <c r="K185" s="19">
        <f t="shared" si="4"/>
        <v>0</v>
      </c>
      <c r="L185" s="48"/>
      <c r="M185" s="45"/>
      <c r="N185" s="48"/>
      <c r="O185" s="20"/>
      <c r="P185" s="20"/>
    </row>
    <row r="186" spans="1:16" ht="15.75" customHeight="1">
      <c r="A186" s="20"/>
      <c r="B186" s="21"/>
      <c r="C186" s="21"/>
      <c r="D186" s="21"/>
      <c r="E186" s="21"/>
      <c r="F186" s="21"/>
      <c r="G186" s="21"/>
      <c r="H186" s="21"/>
      <c r="I186" s="19"/>
      <c r="J186" s="22"/>
      <c r="K186" s="19">
        <f t="shared" si="4"/>
        <v>0</v>
      </c>
      <c r="L186" s="48"/>
      <c r="M186" s="45"/>
      <c r="N186" s="48"/>
      <c r="O186" s="20"/>
      <c r="P186" s="20"/>
    </row>
    <row r="187" spans="1:16" ht="15.75" customHeight="1">
      <c r="A187" s="20"/>
      <c r="B187" s="21"/>
      <c r="C187" s="21"/>
      <c r="D187" s="21"/>
      <c r="E187" s="21"/>
      <c r="F187" s="21"/>
      <c r="G187" s="21"/>
      <c r="H187" s="21"/>
      <c r="I187" s="19"/>
      <c r="J187" s="22"/>
      <c r="K187" s="19">
        <f t="shared" si="4"/>
        <v>0</v>
      </c>
      <c r="L187" s="48"/>
      <c r="M187" s="45"/>
      <c r="N187" s="48"/>
      <c r="O187" s="20"/>
      <c r="P187" s="20"/>
    </row>
    <row r="188" spans="1:16" ht="15.75" customHeight="1">
      <c r="A188" s="20"/>
      <c r="B188" s="21"/>
      <c r="C188" s="21"/>
      <c r="D188" s="21"/>
      <c r="E188" s="21"/>
      <c r="F188" s="21"/>
      <c r="G188" s="21"/>
      <c r="H188" s="21"/>
      <c r="I188" s="19"/>
      <c r="J188" s="22"/>
      <c r="K188" s="19">
        <f t="shared" si="4"/>
        <v>0</v>
      </c>
      <c r="L188" s="48"/>
      <c r="M188" s="45"/>
      <c r="N188" s="48"/>
      <c r="O188" s="20"/>
      <c r="P188" s="20"/>
    </row>
    <row r="189" spans="1:16" ht="15.75" customHeight="1">
      <c r="A189" s="20"/>
      <c r="B189" s="21"/>
      <c r="C189" s="21"/>
      <c r="D189" s="21"/>
      <c r="E189" s="21"/>
      <c r="F189" s="21"/>
      <c r="G189" s="21"/>
      <c r="H189" s="21"/>
      <c r="I189" s="19"/>
      <c r="J189" s="22"/>
      <c r="K189" s="19">
        <f t="shared" si="4"/>
        <v>0</v>
      </c>
      <c r="L189" s="48"/>
      <c r="M189" s="45"/>
      <c r="N189" s="48"/>
      <c r="O189" s="20"/>
      <c r="P189" s="20"/>
    </row>
    <row r="190" spans="1:16" ht="15.75" customHeight="1">
      <c r="A190" s="20"/>
      <c r="B190" s="21"/>
      <c r="C190" s="21"/>
      <c r="D190" s="21"/>
      <c r="E190" s="21"/>
      <c r="F190" s="21"/>
      <c r="G190" s="21"/>
      <c r="H190" s="21"/>
      <c r="I190" s="19"/>
      <c r="J190" s="22"/>
      <c r="K190" s="19">
        <f t="shared" si="4"/>
        <v>0</v>
      </c>
      <c r="L190" s="48"/>
      <c r="M190" s="45"/>
      <c r="N190" s="48"/>
      <c r="O190" s="20"/>
      <c r="P190" s="20"/>
    </row>
    <row r="191" spans="1:16" ht="15.75" customHeight="1">
      <c r="A191" s="20"/>
      <c r="B191" s="21"/>
      <c r="C191" s="21"/>
      <c r="D191" s="21"/>
      <c r="E191" s="21"/>
      <c r="F191" s="21"/>
      <c r="G191" s="21"/>
      <c r="H191" s="21"/>
      <c r="I191" s="19"/>
      <c r="J191" s="22"/>
      <c r="K191" s="19">
        <f t="shared" si="4"/>
        <v>0</v>
      </c>
      <c r="L191" s="48"/>
      <c r="M191" s="45"/>
      <c r="N191" s="48"/>
      <c r="O191" s="20"/>
      <c r="P191" s="20"/>
    </row>
    <row r="192" spans="1:16" ht="15.75" customHeight="1">
      <c r="A192" s="20"/>
      <c r="B192" s="21"/>
      <c r="C192" s="21"/>
      <c r="D192" s="21"/>
      <c r="E192" s="21"/>
      <c r="F192" s="21"/>
      <c r="G192" s="21"/>
      <c r="H192" s="21"/>
      <c r="I192" s="19"/>
      <c r="J192" s="22"/>
      <c r="K192" s="19">
        <f t="shared" si="4"/>
        <v>0</v>
      </c>
      <c r="L192" s="48"/>
      <c r="M192" s="45"/>
      <c r="N192" s="48"/>
      <c r="O192" s="20"/>
      <c r="P192" s="20"/>
    </row>
    <row r="193" spans="1:16" ht="15.75" customHeight="1">
      <c r="A193" s="20"/>
      <c r="B193" s="21"/>
      <c r="C193" s="21"/>
      <c r="D193" s="21"/>
      <c r="E193" s="21"/>
      <c r="F193" s="21"/>
      <c r="G193" s="21"/>
      <c r="H193" s="21"/>
      <c r="I193" s="19"/>
      <c r="J193" s="22"/>
      <c r="K193" s="19">
        <f t="shared" si="4"/>
        <v>0</v>
      </c>
      <c r="L193" s="48"/>
      <c r="M193" s="45"/>
      <c r="N193" s="48"/>
      <c r="O193" s="20"/>
      <c r="P193" s="20"/>
    </row>
    <row r="194" spans="1:16" ht="15.75" customHeight="1">
      <c r="A194" s="20"/>
      <c r="B194" s="21"/>
      <c r="C194" s="21"/>
      <c r="D194" s="21"/>
      <c r="E194" s="21"/>
      <c r="F194" s="21"/>
      <c r="G194" s="21"/>
      <c r="H194" s="21"/>
      <c r="I194" s="19"/>
      <c r="J194" s="22"/>
      <c r="K194" s="19">
        <f t="shared" si="4"/>
        <v>0</v>
      </c>
      <c r="L194" s="48"/>
      <c r="M194" s="45"/>
      <c r="N194" s="48"/>
      <c r="O194" s="20"/>
      <c r="P194" s="20"/>
    </row>
    <row r="195" spans="1:16" ht="15.75" customHeight="1">
      <c r="A195" s="20"/>
      <c r="B195" s="21"/>
      <c r="C195" s="21"/>
      <c r="D195" s="21"/>
      <c r="E195" s="21"/>
      <c r="F195" s="21"/>
      <c r="G195" s="21"/>
      <c r="H195" s="21"/>
      <c r="I195" s="19"/>
      <c r="J195" s="22"/>
      <c r="K195" s="19">
        <f t="shared" si="4"/>
        <v>0</v>
      </c>
      <c r="L195" s="48"/>
      <c r="M195" s="45"/>
      <c r="N195" s="48"/>
      <c r="O195" s="20"/>
      <c r="P195" s="20"/>
    </row>
    <row r="196" spans="1:16" ht="15.75" customHeight="1">
      <c r="A196" s="20"/>
      <c r="B196" s="21"/>
      <c r="C196" s="21"/>
      <c r="D196" s="21"/>
      <c r="E196" s="21"/>
      <c r="F196" s="21"/>
      <c r="G196" s="21"/>
      <c r="H196" s="21"/>
      <c r="I196" s="19"/>
      <c r="J196" s="22"/>
      <c r="K196" s="19">
        <f t="shared" si="4"/>
        <v>0</v>
      </c>
      <c r="L196" s="48"/>
      <c r="M196" s="45"/>
      <c r="N196" s="48"/>
      <c r="O196" s="20"/>
      <c r="P196" s="20"/>
    </row>
    <row r="197" spans="1:16" ht="15.75" customHeight="1">
      <c r="A197" s="20"/>
      <c r="B197" s="21"/>
      <c r="C197" s="21"/>
      <c r="D197" s="21"/>
      <c r="E197" s="21"/>
      <c r="F197" s="21"/>
      <c r="G197" s="21"/>
      <c r="H197" s="21"/>
      <c r="I197" s="19"/>
      <c r="J197" s="22"/>
      <c r="K197" s="19">
        <f t="shared" si="4"/>
        <v>0</v>
      </c>
      <c r="L197" s="48"/>
      <c r="M197" s="45"/>
      <c r="N197" s="48"/>
      <c r="O197" s="20"/>
      <c r="P197" s="20"/>
    </row>
    <row r="198" spans="1:16" ht="15.75" customHeight="1">
      <c r="A198" s="20"/>
      <c r="B198" s="21"/>
      <c r="C198" s="21"/>
      <c r="D198" s="21"/>
      <c r="E198" s="21"/>
      <c r="F198" s="21"/>
      <c r="G198" s="21"/>
      <c r="H198" s="21"/>
      <c r="I198" s="19"/>
      <c r="J198" s="22"/>
      <c r="K198" s="19">
        <f t="shared" si="4"/>
        <v>0</v>
      </c>
      <c r="L198" s="48"/>
      <c r="M198" s="45"/>
      <c r="N198" s="48"/>
      <c r="O198" s="20"/>
      <c r="P198" s="20"/>
    </row>
    <row r="199" spans="1:16" ht="15.75" customHeight="1">
      <c r="A199" s="20"/>
      <c r="B199" s="21"/>
      <c r="C199" s="21"/>
      <c r="D199" s="21"/>
      <c r="E199" s="21"/>
      <c r="F199" s="21"/>
      <c r="G199" s="21"/>
      <c r="H199" s="21"/>
      <c r="I199" s="19"/>
      <c r="J199" s="22"/>
      <c r="K199" s="19">
        <f t="shared" si="4"/>
        <v>0</v>
      </c>
      <c r="L199" s="48"/>
      <c r="M199" s="45"/>
      <c r="N199" s="48"/>
      <c r="O199" s="20"/>
      <c r="P199" s="20"/>
    </row>
    <row r="200" spans="1:16" ht="15.75" customHeight="1">
      <c r="A200" s="20"/>
      <c r="B200" s="21"/>
      <c r="C200" s="21"/>
      <c r="D200" s="21"/>
      <c r="E200" s="21"/>
      <c r="F200" s="21"/>
      <c r="G200" s="21"/>
      <c r="H200" s="21"/>
      <c r="I200" s="19"/>
      <c r="J200" s="22"/>
      <c r="K200" s="19">
        <f t="shared" si="4"/>
        <v>0</v>
      </c>
      <c r="L200" s="48"/>
      <c r="M200" s="45"/>
      <c r="N200" s="48"/>
      <c r="O200" s="20"/>
      <c r="P200" s="20"/>
    </row>
    <row r="201" spans="1:16" ht="15.75" customHeight="1">
      <c r="A201" s="20"/>
      <c r="B201" s="21"/>
      <c r="C201" s="21"/>
      <c r="D201" s="21"/>
      <c r="E201" s="21"/>
      <c r="F201" s="21"/>
      <c r="G201" s="21"/>
      <c r="H201" s="21"/>
      <c r="I201" s="19"/>
      <c r="J201" s="22"/>
      <c r="K201" s="19">
        <f t="shared" si="4"/>
        <v>0</v>
      </c>
      <c r="L201" s="48"/>
      <c r="M201" s="45"/>
      <c r="N201" s="48"/>
      <c r="O201" s="20"/>
      <c r="P201" s="20"/>
    </row>
    <row r="202" spans="1:16" ht="15.75" customHeight="1">
      <c r="A202" s="20"/>
      <c r="B202" s="21"/>
      <c r="C202" s="21"/>
      <c r="D202" s="21"/>
      <c r="E202" s="21"/>
      <c r="F202" s="21"/>
      <c r="G202" s="21"/>
      <c r="H202" s="21"/>
      <c r="I202" s="19"/>
      <c r="J202" s="22"/>
      <c r="K202" s="19">
        <f t="shared" ref="K202:K228" si="5">IF(I202="",0,I202*J202)</f>
        <v>0</v>
      </c>
      <c r="L202" s="48"/>
      <c r="M202" s="45"/>
      <c r="N202" s="48"/>
      <c r="O202" s="20"/>
      <c r="P202" s="20"/>
    </row>
    <row r="203" spans="1:16" ht="15.75" customHeight="1">
      <c r="A203" s="20"/>
      <c r="B203" s="21"/>
      <c r="C203" s="21"/>
      <c r="D203" s="21"/>
      <c r="E203" s="21"/>
      <c r="F203" s="21"/>
      <c r="G203" s="21"/>
      <c r="H203" s="21"/>
      <c r="I203" s="19"/>
      <c r="J203" s="22"/>
      <c r="K203" s="19">
        <f t="shared" si="5"/>
        <v>0</v>
      </c>
      <c r="L203" s="48"/>
      <c r="M203" s="45"/>
      <c r="N203" s="48"/>
      <c r="O203" s="20"/>
      <c r="P203" s="20"/>
    </row>
    <row r="204" spans="1:16" ht="15.75" customHeight="1">
      <c r="A204" s="20"/>
      <c r="B204" s="21"/>
      <c r="C204" s="21"/>
      <c r="D204" s="21"/>
      <c r="E204" s="21"/>
      <c r="F204" s="21"/>
      <c r="G204" s="21"/>
      <c r="H204" s="21"/>
      <c r="I204" s="19"/>
      <c r="J204" s="22"/>
      <c r="K204" s="19">
        <f t="shared" si="5"/>
        <v>0</v>
      </c>
      <c r="L204" s="48"/>
      <c r="M204" s="45"/>
      <c r="N204" s="48"/>
      <c r="O204" s="20"/>
      <c r="P204" s="20"/>
    </row>
    <row r="205" spans="1:16" ht="15.75" customHeight="1">
      <c r="A205" s="20"/>
      <c r="B205" s="21"/>
      <c r="C205" s="21"/>
      <c r="D205" s="21"/>
      <c r="E205" s="21"/>
      <c r="F205" s="21"/>
      <c r="G205" s="21"/>
      <c r="H205" s="21"/>
      <c r="I205" s="19"/>
      <c r="J205" s="22"/>
      <c r="K205" s="19">
        <f t="shared" si="5"/>
        <v>0</v>
      </c>
      <c r="L205" s="48"/>
      <c r="M205" s="45"/>
      <c r="N205" s="48"/>
      <c r="O205" s="20"/>
      <c r="P205" s="20"/>
    </row>
    <row r="206" spans="1:16" ht="15.75" customHeight="1">
      <c r="A206" s="20"/>
      <c r="B206" s="21"/>
      <c r="C206" s="21"/>
      <c r="D206" s="21"/>
      <c r="E206" s="21"/>
      <c r="F206" s="21"/>
      <c r="G206" s="21"/>
      <c r="H206" s="21"/>
      <c r="I206" s="19"/>
      <c r="J206" s="22"/>
      <c r="K206" s="19">
        <f t="shared" si="5"/>
        <v>0</v>
      </c>
      <c r="L206" s="48"/>
      <c r="M206" s="45"/>
      <c r="N206" s="48"/>
      <c r="O206" s="20"/>
      <c r="P206" s="20"/>
    </row>
    <row r="207" spans="1:16" ht="15.75" customHeight="1">
      <c r="A207" s="20"/>
      <c r="B207" s="21"/>
      <c r="C207" s="21"/>
      <c r="D207" s="21"/>
      <c r="E207" s="21"/>
      <c r="F207" s="21"/>
      <c r="G207" s="21"/>
      <c r="H207" s="21"/>
      <c r="I207" s="19"/>
      <c r="J207" s="22"/>
      <c r="K207" s="19">
        <f t="shared" si="5"/>
        <v>0</v>
      </c>
      <c r="L207" s="48"/>
      <c r="M207" s="45"/>
      <c r="N207" s="48"/>
      <c r="O207" s="20"/>
      <c r="P207" s="20"/>
    </row>
    <row r="208" spans="1:16" ht="15.75" customHeight="1">
      <c r="A208" s="20"/>
      <c r="B208" s="21"/>
      <c r="C208" s="21"/>
      <c r="D208" s="21"/>
      <c r="E208" s="21"/>
      <c r="F208" s="21"/>
      <c r="G208" s="21"/>
      <c r="H208" s="21"/>
      <c r="I208" s="19"/>
      <c r="J208" s="22"/>
      <c r="K208" s="19">
        <f t="shared" si="5"/>
        <v>0</v>
      </c>
      <c r="L208" s="48"/>
      <c r="M208" s="45"/>
      <c r="N208" s="48"/>
      <c r="O208" s="20"/>
      <c r="P208" s="20"/>
    </row>
    <row r="209" spans="1:16" ht="15.75" customHeight="1">
      <c r="A209" s="20"/>
      <c r="B209" s="21"/>
      <c r="C209" s="21"/>
      <c r="D209" s="21"/>
      <c r="E209" s="21"/>
      <c r="F209" s="21"/>
      <c r="G209" s="21"/>
      <c r="H209" s="21"/>
      <c r="I209" s="19"/>
      <c r="J209" s="22"/>
      <c r="K209" s="19">
        <f t="shared" si="5"/>
        <v>0</v>
      </c>
      <c r="L209" s="48"/>
      <c r="M209" s="45"/>
      <c r="N209" s="48"/>
      <c r="O209" s="20"/>
      <c r="P209" s="20"/>
    </row>
    <row r="210" spans="1:16" ht="15.75" customHeight="1">
      <c r="A210" s="20"/>
      <c r="B210" s="21"/>
      <c r="C210" s="21"/>
      <c r="D210" s="21"/>
      <c r="E210" s="21"/>
      <c r="F210" s="21"/>
      <c r="G210" s="21"/>
      <c r="H210" s="21"/>
      <c r="I210" s="19"/>
      <c r="J210" s="22"/>
      <c r="K210" s="19">
        <f t="shared" si="5"/>
        <v>0</v>
      </c>
      <c r="L210" s="48"/>
      <c r="M210" s="45"/>
      <c r="N210" s="48"/>
      <c r="O210" s="20"/>
      <c r="P210" s="20"/>
    </row>
    <row r="211" spans="1:16" ht="15.75" customHeight="1">
      <c r="A211" s="20"/>
      <c r="B211" s="21"/>
      <c r="C211" s="21"/>
      <c r="D211" s="21"/>
      <c r="E211" s="21"/>
      <c r="F211" s="21"/>
      <c r="G211" s="21"/>
      <c r="H211" s="21"/>
      <c r="I211" s="19"/>
      <c r="J211" s="22"/>
      <c r="K211" s="19">
        <f t="shared" si="5"/>
        <v>0</v>
      </c>
      <c r="L211" s="48"/>
      <c r="M211" s="45"/>
      <c r="N211" s="48"/>
      <c r="O211" s="20"/>
      <c r="P211" s="20"/>
    </row>
    <row r="212" spans="1:16" ht="15.75" customHeight="1">
      <c r="A212" s="20"/>
      <c r="B212" s="21"/>
      <c r="C212" s="21"/>
      <c r="D212" s="21"/>
      <c r="E212" s="21"/>
      <c r="F212" s="21"/>
      <c r="G212" s="21"/>
      <c r="H212" s="21"/>
      <c r="I212" s="19"/>
      <c r="J212" s="22"/>
      <c r="K212" s="19">
        <f t="shared" si="5"/>
        <v>0</v>
      </c>
      <c r="L212" s="48"/>
      <c r="M212" s="45"/>
      <c r="N212" s="48"/>
      <c r="O212" s="20"/>
      <c r="P212" s="20"/>
    </row>
    <row r="213" spans="1:16" ht="15.75" customHeight="1">
      <c r="A213" s="20"/>
      <c r="B213" s="21"/>
      <c r="C213" s="21"/>
      <c r="D213" s="21"/>
      <c r="E213" s="21"/>
      <c r="F213" s="21"/>
      <c r="G213" s="21"/>
      <c r="H213" s="21"/>
      <c r="I213" s="19"/>
      <c r="J213" s="22"/>
      <c r="K213" s="19">
        <f t="shared" si="5"/>
        <v>0</v>
      </c>
      <c r="L213" s="48"/>
      <c r="M213" s="45"/>
      <c r="N213" s="48"/>
      <c r="O213" s="20"/>
      <c r="P213" s="20"/>
    </row>
    <row r="214" spans="1:16" ht="15.75" customHeight="1">
      <c r="A214" s="20"/>
      <c r="B214" s="21"/>
      <c r="C214" s="21"/>
      <c r="D214" s="21"/>
      <c r="E214" s="21"/>
      <c r="F214" s="21"/>
      <c r="G214" s="21"/>
      <c r="H214" s="21"/>
      <c r="I214" s="19"/>
      <c r="J214" s="22"/>
      <c r="K214" s="19">
        <f t="shared" si="5"/>
        <v>0</v>
      </c>
      <c r="L214" s="48"/>
      <c r="M214" s="45"/>
      <c r="N214" s="48"/>
      <c r="O214" s="20"/>
      <c r="P214" s="20"/>
    </row>
    <row r="215" spans="1:16" ht="15.75" customHeight="1">
      <c r="A215" s="20"/>
      <c r="B215" s="21"/>
      <c r="C215" s="21"/>
      <c r="D215" s="21"/>
      <c r="E215" s="21"/>
      <c r="F215" s="21"/>
      <c r="G215" s="21"/>
      <c r="H215" s="21"/>
      <c r="I215" s="19"/>
      <c r="J215" s="22"/>
      <c r="K215" s="19">
        <f t="shared" si="5"/>
        <v>0</v>
      </c>
      <c r="L215" s="48"/>
      <c r="M215" s="45"/>
      <c r="N215" s="48"/>
      <c r="O215" s="20"/>
      <c r="P215" s="20"/>
    </row>
    <row r="216" spans="1:16" ht="15.75" customHeight="1">
      <c r="A216" s="20"/>
      <c r="B216" s="21"/>
      <c r="C216" s="21"/>
      <c r="D216" s="21"/>
      <c r="E216" s="21"/>
      <c r="F216" s="21"/>
      <c r="G216" s="21"/>
      <c r="H216" s="21"/>
      <c r="I216" s="19"/>
      <c r="J216" s="22"/>
      <c r="K216" s="19">
        <f t="shared" si="5"/>
        <v>0</v>
      </c>
      <c r="L216" s="48"/>
      <c r="M216" s="45"/>
      <c r="N216" s="48"/>
      <c r="O216" s="20"/>
      <c r="P216" s="20"/>
    </row>
    <row r="217" spans="1:16" ht="15.75" customHeight="1">
      <c r="A217" s="20"/>
      <c r="B217" s="21"/>
      <c r="C217" s="21"/>
      <c r="D217" s="21"/>
      <c r="E217" s="21"/>
      <c r="F217" s="21"/>
      <c r="G217" s="21"/>
      <c r="H217" s="21"/>
      <c r="I217" s="19"/>
      <c r="J217" s="22"/>
      <c r="K217" s="19">
        <f t="shared" si="5"/>
        <v>0</v>
      </c>
      <c r="L217" s="48"/>
      <c r="M217" s="45"/>
      <c r="N217" s="48"/>
      <c r="O217" s="20"/>
      <c r="P217" s="20"/>
    </row>
    <row r="218" spans="1:16" ht="15.75" customHeight="1">
      <c r="A218" s="20"/>
      <c r="B218" s="21"/>
      <c r="C218" s="21"/>
      <c r="D218" s="21"/>
      <c r="E218" s="21"/>
      <c r="F218" s="21"/>
      <c r="G218" s="21"/>
      <c r="H218" s="21"/>
      <c r="I218" s="19"/>
      <c r="J218" s="22"/>
      <c r="K218" s="19">
        <f t="shared" si="5"/>
        <v>0</v>
      </c>
      <c r="L218" s="48"/>
      <c r="M218" s="45"/>
      <c r="N218" s="48"/>
      <c r="O218" s="20"/>
      <c r="P218" s="20"/>
    </row>
    <row r="219" spans="1:16" ht="15.75" customHeight="1">
      <c r="A219" s="20"/>
      <c r="B219" s="21"/>
      <c r="C219" s="21"/>
      <c r="D219" s="21"/>
      <c r="E219" s="21"/>
      <c r="F219" s="21"/>
      <c r="G219" s="21"/>
      <c r="H219" s="21"/>
      <c r="I219" s="19"/>
      <c r="J219" s="22"/>
      <c r="K219" s="19">
        <f t="shared" si="5"/>
        <v>0</v>
      </c>
      <c r="L219" s="48"/>
      <c r="M219" s="45"/>
      <c r="N219" s="48"/>
      <c r="O219" s="20"/>
      <c r="P219" s="20"/>
    </row>
    <row r="220" spans="1:16" ht="15.75" customHeight="1">
      <c r="A220" s="20"/>
      <c r="B220" s="21"/>
      <c r="C220" s="21"/>
      <c r="D220" s="21"/>
      <c r="E220" s="21"/>
      <c r="F220" s="21"/>
      <c r="G220" s="21"/>
      <c r="H220" s="21"/>
      <c r="I220" s="19"/>
      <c r="J220" s="22"/>
      <c r="K220" s="19">
        <f t="shared" si="5"/>
        <v>0</v>
      </c>
      <c r="L220" s="48"/>
      <c r="M220" s="45"/>
      <c r="N220" s="48"/>
      <c r="O220" s="20"/>
      <c r="P220" s="20"/>
    </row>
    <row r="221" spans="1:16" ht="15.75" customHeight="1">
      <c r="A221" s="20"/>
      <c r="B221" s="21"/>
      <c r="C221" s="21"/>
      <c r="D221" s="21"/>
      <c r="E221" s="21"/>
      <c r="F221" s="21"/>
      <c r="G221" s="21"/>
      <c r="H221" s="21"/>
      <c r="I221" s="19"/>
      <c r="J221" s="22"/>
      <c r="K221" s="19">
        <f t="shared" si="5"/>
        <v>0</v>
      </c>
      <c r="L221" s="48"/>
      <c r="M221" s="45"/>
      <c r="N221" s="48"/>
      <c r="O221" s="20"/>
      <c r="P221" s="20"/>
    </row>
    <row r="222" spans="1:16" ht="15.75" customHeight="1">
      <c r="A222" s="20"/>
      <c r="B222" s="21"/>
      <c r="C222" s="21"/>
      <c r="D222" s="21"/>
      <c r="E222" s="21"/>
      <c r="F222" s="21"/>
      <c r="G222" s="21"/>
      <c r="H222" s="21"/>
      <c r="I222" s="19"/>
      <c r="J222" s="22"/>
      <c r="K222" s="19">
        <f t="shared" si="5"/>
        <v>0</v>
      </c>
      <c r="L222" s="48"/>
      <c r="M222" s="45"/>
      <c r="N222" s="48"/>
      <c r="O222" s="20"/>
      <c r="P222" s="20"/>
    </row>
    <row r="223" spans="1:16" ht="15.75" customHeight="1">
      <c r="A223" s="20"/>
      <c r="B223" s="21"/>
      <c r="C223" s="21"/>
      <c r="D223" s="21"/>
      <c r="E223" s="21"/>
      <c r="F223" s="21"/>
      <c r="G223" s="21"/>
      <c r="H223" s="21"/>
      <c r="I223" s="19"/>
      <c r="J223" s="22"/>
      <c r="K223" s="19">
        <f t="shared" si="5"/>
        <v>0</v>
      </c>
      <c r="L223" s="48"/>
      <c r="M223" s="45"/>
      <c r="N223" s="48"/>
      <c r="O223" s="20"/>
      <c r="P223" s="20"/>
    </row>
    <row r="224" spans="1:16" ht="15.75" customHeight="1">
      <c r="A224" s="20"/>
      <c r="B224" s="21"/>
      <c r="C224" s="21"/>
      <c r="D224" s="21"/>
      <c r="E224" s="21"/>
      <c r="F224" s="21"/>
      <c r="G224" s="21"/>
      <c r="H224" s="21"/>
      <c r="I224" s="19"/>
      <c r="J224" s="22"/>
      <c r="K224" s="19">
        <f t="shared" si="5"/>
        <v>0</v>
      </c>
      <c r="L224" s="48"/>
      <c r="M224" s="45"/>
      <c r="N224" s="48"/>
      <c r="O224" s="20"/>
      <c r="P224" s="20"/>
    </row>
    <row r="225" spans="1:16" ht="15.75" customHeight="1">
      <c r="A225" s="20"/>
      <c r="B225" s="21"/>
      <c r="C225" s="21"/>
      <c r="D225" s="21"/>
      <c r="E225" s="21"/>
      <c r="F225" s="21"/>
      <c r="G225" s="21"/>
      <c r="H225" s="21"/>
      <c r="I225" s="19"/>
      <c r="J225" s="22"/>
      <c r="K225" s="19">
        <f t="shared" si="5"/>
        <v>0</v>
      </c>
      <c r="L225" s="48"/>
      <c r="M225" s="45"/>
      <c r="N225" s="48"/>
      <c r="O225" s="20"/>
      <c r="P225" s="20"/>
    </row>
    <row r="226" spans="1:16" ht="15.75" customHeight="1">
      <c r="A226" s="20"/>
      <c r="B226" s="21"/>
      <c r="C226" s="21"/>
      <c r="D226" s="21"/>
      <c r="E226" s="21"/>
      <c r="F226" s="21"/>
      <c r="G226" s="21"/>
      <c r="H226" s="21"/>
      <c r="I226" s="19"/>
      <c r="J226" s="22"/>
      <c r="K226" s="19">
        <f t="shared" si="5"/>
        <v>0</v>
      </c>
      <c r="L226" s="48"/>
      <c r="M226" s="45"/>
      <c r="N226" s="48"/>
      <c r="O226" s="20"/>
      <c r="P226" s="20"/>
    </row>
    <row r="227" spans="1:16" ht="15.75" customHeight="1">
      <c r="A227" s="20"/>
      <c r="B227" s="21"/>
      <c r="C227" s="21"/>
      <c r="D227" s="21"/>
      <c r="E227" s="21"/>
      <c r="F227" s="21"/>
      <c r="G227" s="21"/>
      <c r="H227" s="21"/>
      <c r="I227" s="19"/>
      <c r="J227" s="22"/>
      <c r="K227" s="19">
        <f t="shared" si="5"/>
        <v>0</v>
      </c>
      <c r="L227" s="48"/>
      <c r="M227" s="45"/>
      <c r="N227" s="48"/>
      <c r="O227" s="20"/>
      <c r="P227" s="20"/>
    </row>
    <row r="228" spans="1:16" ht="15.75" customHeight="1">
      <c r="A228" s="20"/>
      <c r="B228" s="21"/>
      <c r="C228" s="21"/>
      <c r="D228" s="21"/>
      <c r="E228" s="21"/>
      <c r="F228" s="21"/>
      <c r="G228" s="21"/>
      <c r="H228" s="21"/>
      <c r="I228" s="19"/>
      <c r="J228" s="22"/>
      <c r="K228" s="19">
        <f t="shared" si="5"/>
        <v>0</v>
      </c>
      <c r="L228" s="48"/>
      <c r="M228" s="45"/>
      <c r="N228" s="48"/>
      <c r="O228" s="20"/>
      <c r="P228" s="20"/>
    </row>
    <row r="229" spans="1:16" ht="15.75" customHeight="1"/>
    <row r="230" spans="1:16" ht="15.75" customHeight="1"/>
    <row r="231" spans="1:16" ht="15.75" customHeight="1"/>
    <row r="232" spans="1:16" ht="15.75" customHeight="1"/>
    <row r="233" spans="1:16" ht="15.75" customHeight="1"/>
    <row r="234" spans="1:16" ht="15.75" customHeight="1"/>
    <row r="235" spans="1:16" ht="15.75" customHeight="1"/>
    <row r="236" spans="1:16" ht="15.75" customHeight="1"/>
    <row r="237" spans="1:16" ht="15.75" customHeight="1"/>
    <row r="238" spans="1:16" ht="15.75" customHeight="1"/>
    <row r="239" spans="1:16" ht="15.75" customHeight="1"/>
    <row r="240" spans="1:1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</sheetData>
  <mergeCells count="14">
    <mergeCell ref="M5:P5"/>
    <mergeCell ref="A5:D5"/>
    <mergeCell ref="A17:P17"/>
    <mergeCell ref="A1:P2"/>
    <mergeCell ref="F15:P15"/>
    <mergeCell ref="A9:P9"/>
    <mergeCell ref="E6:H7"/>
    <mergeCell ref="A4:P4"/>
    <mergeCell ref="I6:L7"/>
    <mergeCell ref="M6:P7"/>
    <mergeCell ref="F14:P14"/>
    <mergeCell ref="A6:D7"/>
    <mergeCell ref="E5:H5"/>
    <mergeCell ref="I5:L5"/>
  </mergeCells>
  <dataValidations count="7">
    <dataValidation type="list" allowBlank="1" sqref="C42:C228">
      <formula1>'⚙ Control Panel'!$E$5:$E$6</formula1>
    </dataValidation>
    <dataValidation type="list" allowBlank="1" sqref="F42:F228">
      <formula1>'⚙ Control Panel'!$C$14:$C$18</formula1>
    </dataValidation>
    <dataValidation type="list" allowBlank="1" sqref="G42:G228">
      <formula1>'⚙ Control Panel'!$E$14:$E$16</formula1>
    </dataValidation>
    <dataValidation type="list" allowBlank="1" sqref="E42:E228">
      <formula1>'⚙ Control Panel'!$A$14:$A$16</formula1>
    </dataValidation>
    <dataValidation type="list" allowBlank="1" sqref="D42:D228">
      <formula1>'⚙ Control Panel'!$G$5:$G$7</formula1>
    </dataValidation>
    <dataValidation type="list" allowBlank="1" sqref="B42:B228">
      <formula1>'⚙ Control Panel'!$C$5:$C$10</formula1>
    </dataValidation>
    <dataValidation type="list" allowBlank="1" sqref="H42:H228">
      <formula1>'⚙ Control Panel'!$G$14:$G$17</formula1>
    </dataValidation>
  </dataValidations>
  <pageMargins left="0.19685039370078741" right="0.19685039370078741" top="0.19685039370078741" bottom="0.19685039370078741" header="0" footer="0"/>
  <pageSetup paperSize="8" scale="8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E7D9A"/>
  </sheetPr>
  <dimension ref="A1:Z1003"/>
  <sheetViews>
    <sheetView zoomScaleNormal="100" workbookViewId="0">
      <pane ySplit="16" topLeftCell="A45" activePane="bottomLeft" state="frozen"/>
      <selection pane="bottomLeft" activeCell="K41" sqref="K41"/>
    </sheetView>
  </sheetViews>
  <sheetFormatPr defaultColWidth="14.44140625" defaultRowHeight="15" customHeight="1"/>
  <cols>
    <col min="1" max="1" width="26.5546875" style="32" customWidth="1"/>
    <col min="2" max="2" width="14" style="32" customWidth="1"/>
    <col min="3" max="3" width="11" style="32" customWidth="1"/>
    <col min="4" max="4" width="10" style="32" customWidth="1"/>
    <col min="5" max="6" width="14" style="32" customWidth="1"/>
    <col min="7" max="7" width="16" style="32" customWidth="1"/>
    <col min="8" max="8" width="18" style="32" customWidth="1"/>
    <col min="9" max="9" width="14" style="32" customWidth="1"/>
    <col min="10" max="10" width="11" style="32" customWidth="1"/>
    <col min="11" max="11" width="16" style="32" customWidth="1"/>
    <col min="12" max="14" width="13" style="32" customWidth="1"/>
    <col min="15" max="15" width="22" style="32" customWidth="1"/>
    <col min="16" max="18" width="13" style="32" customWidth="1"/>
    <col min="19" max="22" width="14" style="32" customWidth="1"/>
    <col min="23" max="26" width="8.6640625" style="32" customWidth="1"/>
  </cols>
  <sheetData>
    <row r="1" spans="1:22" ht="21.75" customHeight="1">
      <c r="A1" s="58" t="s">
        <v>297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22" ht="21.75" customHeigh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</row>
    <row r="3" spans="1:22" ht="24" customHeight="1">
      <c r="S3" s="5" t="s">
        <v>47</v>
      </c>
      <c r="T3" s="5" t="s">
        <v>91</v>
      </c>
      <c r="U3" s="5" t="s">
        <v>49</v>
      </c>
      <c r="V3" s="5" t="s">
        <v>50</v>
      </c>
    </row>
    <row r="4" spans="1:22" ht="14.4" customHeight="1">
      <c r="A4" s="57" t="s">
        <v>92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S4" s="6" t="s">
        <v>55</v>
      </c>
      <c r="T4" s="17">
        <v>1500000</v>
      </c>
      <c r="U4" s="17">
        <f>SUMPRODUCT(IFERROR((MONTH(L42:L144)=1)*(YEAR(L42:L144)=2026),0)*I42:I144)</f>
        <v>0</v>
      </c>
      <c r="V4" s="17">
        <f>SUMPRODUCT(IFERROR((MONTH(M42:M144)=1)*(YEAR(M42:M144)=2026),0)*I42:I144)</f>
        <v>0</v>
      </c>
    </row>
    <row r="5" spans="1:22" ht="27.75" customHeight="1">
      <c r="A5" s="53" t="s">
        <v>63</v>
      </c>
      <c r="B5" s="51"/>
      <c r="C5" s="51"/>
      <c r="D5" s="51"/>
      <c r="E5" s="53" t="s">
        <v>52</v>
      </c>
      <c r="F5" s="51"/>
      <c r="G5" s="51"/>
      <c r="H5" s="51"/>
      <c r="I5" s="53" t="s">
        <v>53</v>
      </c>
      <c r="J5" s="51"/>
      <c r="K5" s="51"/>
      <c r="L5" s="51"/>
      <c r="M5" s="53" t="s">
        <v>93</v>
      </c>
      <c r="N5" s="51"/>
      <c r="O5" s="51"/>
      <c r="P5" s="51"/>
      <c r="S5" s="7" t="s">
        <v>56</v>
      </c>
      <c r="T5" s="16">
        <v>2000000</v>
      </c>
      <c r="U5" s="16">
        <f>SUMPRODUCT(IFERROR((MONTH(L42:L144)=2)*(YEAR(L42:L144)=2026),0)*I42:I144)</f>
        <v>0</v>
      </c>
      <c r="V5" s="16">
        <f>SUMPRODUCT(IFERROR((MONTH(M42:M144)=2)*(YEAR(M42:M144)=2026),0)*I42:I144)</f>
        <v>0</v>
      </c>
    </row>
    <row r="6" spans="1:22" ht="21.75" customHeight="1">
      <c r="A6" s="59">
        <f>SUMIF(B42:B144,"&lt;&gt;Delivered",I42:I144)</f>
        <v>15480135</v>
      </c>
      <c r="B6" s="55"/>
      <c r="C6" s="55"/>
      <c r="D6" s="55"/>
      <c r="E6" s="59">
        <f>SUM(K42:K144)</f>
        <v>11678201.6</v>
      </c>
      <c r="F6" s="55"/>
      <c r="G6" s="55"/>
      <c r="H6" s="55"/>
      <c r="I6" s="59">
        <f ca="1">SUMPRODUCT((B42:B144="Deal Signed")*IFERROR((MONTH(L42:L144)=MONTH(TODAY()))*(YEAR(L42:L144)=YEAR(TODAY())),0)*I42:I144)+SUMPRODUCT((B42:B144="Delivered")*IFERROR((MONTH(L42:L144)=MONTH(TODAY()))*(YEAR(L42:L144)=YEAR(TODAY())),0)*I42:I144)</f>
        <v>0</v>
      </c>
      <c r="J6" s="55"/>
      <c r="K6" s="55"/>
      <c r="L6" s="55"/>
      <c r="M6" s="54">
        <f>SUM(T4:T15)</f>
        <v>36000000</v>
      </c>
      <c r="N6" s="55"/>
      <c r="O6" s="55"/>
      <c r="P6" s="55"/>
      <c r="S6" s="6" t="s">
        <v>57</v>
      </c>
      <c r="T6" s="17">
        <v>4000000</v>
      </c>
      <c r="U6" s="17">
        <f>SUMPRODUCT(IFERROR((MONTH(L42:L144)=3)*(YEAR(L42:L144)=2026),0)*I42:I144)</f>
        <v>0</v>
      </c>
      <c r="V6" s="17">
        <f>SUMPRODUCT(IFERROR((MONTH(M42:M144)=3)*(YEAR(M42:M144)=2026),0)*I42:I144)</f>
        <v>0</v>
      </c>
    </row>
    <row r="7" spans="1:22" ht="21.75" customHeight="1">
      <c r="A7" s="56"/>
      <c r="B7" s="51"/>
      <c r="C7" s="51"/>
      <c r="D7" s="51"/>
      <c r="E7" s="56"/>
      <c r="F7" s="51"/>
      <c r="G7" s="51"/>
      <c r="H7" s="51"/>
      <c r="I7" s="56"/>
      <c r="J7" s="51"/>
      <c r="K7" s="51"/>
      <c r="L7" s="51"/>
      <c r="M7" s="56"/>
      <c r="N7" s="51"/>
      <c r="O7" s="51"/>
      <c r="P7" s="51"/>
      <c r="S7" s="7" t="s">
        <v>58</v>
      </c>
      <c r="T7" s="16">
        <v>4000000</v>
      </c>
      <c r="U7" s="16">
        <f>SUMPRODUCT(IFERROR((MONTH(L42:L144)=4)*(YEAR(L42:L144)=2026),0)*I42:I144)</f>
        <v>0</v>
      </c>
      <c r="V7" s="16">
        <f>SUMPRODUCT(IFERROR((MONTH(M42:M144)=4)*(YEAR(M42:M144)=2026),0)*I42:I144)</f>
        <v>0</v>
      </c>
    </row>
    <row r="8" spans="1:22" ht="14.4" customHeight="1">
      <c r="S8" s="6" t="s">
        <v>59</v>
      </c>
      <c r="T8" s="17">
        <v>3000000</v>
      </c>
      <c r="U8" s="17">
        <f>SUMPRODUCT(IFERROR((MONTH(L42:L144)=5)*(YEAR(L42:L144)=2026),0)*I42:I144)</f>
        <v>0</v>
      </c>
      <c r="V8" s="17">
        <f>SUMPRODUCT(IFERROR((MONTH(M42:M144)=5)*(YEAR(M42:M144)=2026),0)*I42:I144)</f>
        <v>0</v>
      </c>
    </row>
    <row r="9" spans="1:22" ht="14.4" customHeight="1">
      <c r="A9" s="57" t="s">
        <v>94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S9" s="7" t="s">
        <v>61</v>
      </c>
      <c r="T9" s="16">
        <v>3500000</v>
      </c>
      <c r="U9" s="16">
        <f>SUMPRODUCT(IFERROR((MONTH(L42:L144)=6)*(YEAR(L42:L144)=2026),0)*I42:I144)</f>
        <v>0</v>
      </c>
      <c r="V9" s="16">
        <f>SUMPRODUCT(IFERROR((MONTH(M42:M144)=6)*(YEAR(M42:M144)=2026),0)*I42:I144)</f>
        <v>0</v>
      </c>
    </row>
    <row r="10" spans="1:22" ht="14.4" customHeight="1">
      <c r="A10" s="14" t="s">
        <v>2</v>
      </c>
      <c r="B10" s="14" t="s">
        <v>86</v>
      </c>
      <c r="C10" s="14" t="s">
        <v>87</v>
      </c>
      <c r="D10" s="14" t="s">
        <v>83</v>
      </c>
      <c r="F10" s="14" t="s">
        <v>4</v>
      </c>
      <c r="G10" s="14" t="s">
        <v>86</v>
      </c>
      <c r="H10" s="14" t="s">
        <v>87</v>
      </c>
      <c r="I10" s="14" t="s">
        <v>83</v>
      </c>
      <c r="S10" s="6" t="s">
        <v>72</v>
      </c>
      <c r="T10" s="17">
        <v>3000000</v>
      </c>
      <c r="U10" s="17">
        <f>SUMPRODUCT(IFERROR((MONTH(L42:L144)=7)*(YEAR(L42:L144)=2026),0)*I42:I144)</f>
        <v>0</v>
      </c>
      <c r="V10" s="17">
        <f>SUMPRODUCT(IFERROR((MONTH(M42:M144)=7)*(YEAR(M42:M144)=2026),0)*I42:I144)</f>
        <v>0</v>
      </c>
    </row>
    <row r="11" spans="1:22" ht="14.4" customHeight="1">
      <c r="A11" s="15" t="s">
        <v>6</v>
      </c>
      <c r="B11" s="19">
        <f>COUNTIF(B42:B144,"Interest")</f>
        <v>2</v>
      </c>
      <c r="C11" s="19">
        <f>SUMIF(B42:B144,"Interest",I42:I144)</f>
        <v>15453958</v>
      </c>
      <c r="D11" s="37">
        <f>IFERROR(SUMIF(B42:B144,"Interest",I42:I144)/SUM(I42:I144),0)</f>
        <v>0.94574190392181035</v>
      </c>
      <c r="F11" s="15" t="s">
        <v>8</v>
      </c>
      <c r="G11" s="19">
        <f>COUNTIF(D42:D144,"High")</f>
        <v>9</v>
      </c>
      <c r="H11" s="19">
        <f>SUMIF(D42:D144,"High",I42:I144)</f>
        <v>16314389</v>
      </c>
      <c r="I11" s="37">
        <f>IFERROR(SUMIF(D42:D144,"High",I42:I144)/SUM(I42:I144),0)</f>
        <v>0.99839803590646736</v>
      </c>
      <c r="S11" s="7" t="s">
        <v>73</v>
      </c>
      <c r="T11" s="16">
        <v>3000000</v>
      </c>
      <c r="U11" s="16">
        <f>SUMPRODUCT(IFERROR((MONTH(L42:L144)=8)*(YEAR(L42:L144)=2026),0)*I42:I144)</f>
        <v>0</v>
      </c>
      <c r="V11" s="16">
        <f>SUMPRODUCT(IFERROR((MONTH(M42:M144)=8)*(YEAR(M42:M144)=2026),0)*I42:I144)</f>
        <v>0</v>
      </c>
    </row>
    <row r="12" spans="1:22" ht="14.4" customHeight="1">
      <c r="A12" s="15" t="s">
        <v>10</v>
      </c>
      <c r="B12" s="19">
        <f>COUNTIF(B42:B144,"Send PI")</f>
        <v>0</v>
      </c>
      <c r="C12" s="19">
        <f>SUMIF(B42:B144,"Send PI",I42:I144)</f>
        <v>0</v>
      </c>
      <c r="D12" s="37">
        <f>IFERROR(SUMIF(B42:B144,"Send PI",I42:I144)/SUM(I42:I144),0)</f>
        <v>0</v>
      </c>
      <c r="F12" s="15" t="s">
        <v>12</v>
      </c>
      <c r="G12" s="19">
        <f>COUNTIF(D42:D144,"Medium")</f>
        <v>0</v>
      </c>
      <c r="H12" s="19">
        <f>SUMIF(D42:D144,"Medium",I42:I144)</f>
        <v>0</v>
      </c>
      <c r="I12" s="37">
        <f>IFERROR(SUMIF(D42:D144,"Medium",I42:I144)/SUM(I42:I144),0)</f>
        <v>0</v>
      </c>
      <c r="S12" s="6" t="s">
        <v>74</v>
      </c>
      <c r="T12" s="17">
        <v>3000000</v>
      </c>
      <c r="U12" s="17">
        <f>SUMPRODUCT(IFERROR((MONTH(L42:L144)=9)*(YEAR(L42:L144)=2026),0)*I42:I144)</f>
        <v>0</v>
      </c>
      <c r="V12" s="17">
        <f>SUMPRODUCT(IFERROR((MONTH(M42:M144)=9)*(YEAR(M42:M144)=2026),0)*I42:I144)</f>
        <v>0</v>
      </c>
    </row>
    <row r="13" spans="1:22" ht="14.4" customHeight="1">
      <c r="A13" s="15" t="s">
        <v>14</v>
      </c>
      <c r="B13" s="19">
        <f>COUNTIF(B42:B144,"Negotiating")</f>
        <v>0</v>
      </c>
      <c r="C13" s="19">
        <f>SUMIF(B42:B144,"Negotiating",I42:I144)</f>
        <v>0</v>
      </c>
      <c r="D13" s="37">
        <f>IFERROR(SUMIF(B42:B144,"Negotiating",I42:I144)/SUM(I42:I144),0)</f>
        <v>0</v>
      </c>
      <c r="F13" s="15" t="s">
        <v>15</v>
      </c>
      <c r="G13" s="19">
        <f>COUNTIF(D42:D144,"Low")</f>
        <v>1</v>
      </c>
      <c r="H13" s="19">
        <f>SUMIF(D42:D144,"Low",I42:I144)</f>
        <v>26177</v>
      </c>
      <c r="I13" s="37">
        <f>IFERROR(SUMIF(D42:D144,"Low",I42:I144)/SUM(I42:I144),0)</f>
        <v>1.601964093532623E-3</v>
      </c>
      <c r="S13" s="7" t="s">
        <v>75</v>
      </c>
      <c r="T13" s="16">
        <v>3000000</v>
      </c>
      <c r="U13" s="16">
        <f>SUMPRODUCT(IFERROR((MONTH(L42:L144)=10)*(YEAR(L42:L144)=2026),0)*I42:I144)</f>
        <v>0</v>
      </c>
      <c r="V13" s="16">
        <f>SUMPRODUCT(IFERROR((MONTH(M42:M144)=10)*(YEAR(M42:M144)=2026),0)*I42:I144)</f>
        <v>0</v>
      </c>
    </row>
    <row r="14" spans="1:22" ht="14.4" customHeight="1">
      <c r="A14" s="15" t="s">
        <v>17</v>
      </c>
      <c r="B14" s="19">
        <f>COUNTIF(B42:B144,"Deal Signed")</f>
        <v>0</v>
      </c>
      <c r="C14" s="19">
        <f>SUMIF(B42:B144,"Deal Signed",I42:I144)</f>
        <v>0</v>
      </c>
      <c r="D14" s="37">
        <f>IFERROR(SUMIF(B42:B144,"Deal Signed",I42:I144)/SUM(I42:I144),0)</f>
        <v>0</v>
      </c>
      <c r="F14" s="63" t="s">
        <v>95</v>
      </c>
      <c r="G14" s="51"/>
      <c r="H14" s="51"/>
      <c r="I14" s="51"/>
      <c r="J14" s="51"/>
      <c r="K14" s="51"/>
      <c r="L14" s="51"/>
      <c r="M14" s="51"/>
      <c r="N14" s="51"/>
      <c r="O14" s="51"/>
      <c r="P14" s="51"/>
      <c r="S14" s="6" t="s">
        <v>76</v>
      </c>
      <c r="T14" s="17">
        <v>3000000</v>
      </c>
      <c r="U14" s="17">
        <f>SUMPRODUCT(IFERROR((MONTH(L42:L144)=11)*(YEAR(L42:L144)=2026),0)*I42:I144)</f>
        <v>0</v>
      </c>
      <c r="V14" s="17">
        <f>SUMPRODUCT(IFERROR((MONTH(M42:M144)=11)*(YEAR(M42:M144)=2026),0)*I42:I144)</f>
        <v>0</v>
      </c>
    </row>
    <row r="15" spans="1:22" ht="21.75" customHeight="1">
      <c r="A15" s="15" t="s">
        <v>19</v>
      </c>
      <c r="B15" s="19">
        <f>COUNTIF(B42:B144,"Delivered")</f>
        <v>7</v>
      </c>
      <c r="C15" s="19">
        <f>SUMIF(B42:B144,"Delivered",I42:I144)</f>
        <v>860431</v>
      </c>
      <c r="D15" s="37">
        <f>IFERROR(SUMIF(B42:B144,"Delivered",I42:I144)/SUM(I42:I144),0)</f>
        <v>5.265613198465708E-2</v>
      </c>
      <c r="F15" s="61" t="str">
        <f ca="1">"Signed this month: "&amp;TEXT(SUMPRODUCT((B42:B144="Deal Signed")*IFERROR((MONTH(L42:L144)=MONTH(TODAY()))*(YEAR(L42:L144)=YEAR(TODAY())),0)*I42:I144)+SUMPRODUCT((B42:B144="Delivered")*IFERROR((MONTH(L42:L144)=MONTH(TODAY()))*(YEAR(L42:L144)=YEAR(TODAY())),0)*I42:I144),"#,##0")&amp;" THB  |  Target: "&amp;TEXT('⚙ Control Panel'!$A$23,"#,##0")&amp;" THB"</f>
        <v>Signed this month: 0 THB  |  Target: 3,000,000 THB</v>
      </c>
      <c r="G15" s="62"/>
      <c r="H15" s="62"/>
      <c r="I15" s="62"/>
      <c r="J15" s="62"/>
      <c r="K15" s="62"/>
      <c r="L15" s="62"/>
      <c r="M15" s="62"/>
      <c r="N15" s="62"/>
      <c r="O15" s="62"/>
      <c r="P15" s="62"/>
      <c r="S15" s="7" t="s">
        <v>77</v>
      </c>
      <c r="T15" s="16">
        <v>3000000</v>
      </c>
      <c r="U15" s="16">
        <f>SUMPRODUCT(IFERROR((MONTH(L42:L144)=12)*(YEAR(L42:L144)=2026),0)*I42:I144)</f>
        <v>0</v>
      </c>
      <c r="V15" s="16">
        <f>SUMPRODUCT(IFERROR((MONTH(M42:M144)=12)*(YEAR(M42:M144)=2026),0)*I42:I144)</f>
        <v>0</v>
      </c>
    </row>
    <row r="17" spans="1:16" ht="14.4" customHeight="1">
      <c r="A17" s="57" t="s">
        <v>96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</row>
    <row r="21" spans="1:16" ht="15.75" customHeight="1"/>
    <row r="22" spans="1:16" ht="15.75" customHeight="1"/>
    <row r="23" spans="1:16" ht="15.75" customHeight="1"/>
    <row r="24" spans="1:16" ht="15.75" customHeight="1"/>
    <row r="25" spans="1:16" ht="15.75" customHeight="1"/>
    <row r="26" spans="1:16" ht="15.75" customHeight="1"/>
    <row r="27" spans="1:16" ht="15.75" customHeight="1"/>
    <row r="28" spans="1:16" ht="15.75" customHeight="1"/>
    <row r="29" spans="1:16" ht="15.75" customHeight="1"/>
    <row r="30" spans="1:16" ht="15.75" customHeight="1"/>
    <row r="31" spans="1:16" ht="15.75" customHeight="1"/>
    <row r="32" spans="1:16" ht="15.75" customHeight="1"/>
    <row r="33" spans="1:17" ht="15.75" customHeight="1"/>
    <row r="34" spans="1:17" ht="15.75" customHeight="1"/>
    <row r="35" spans="1:17" ht="15.75" customHeight="1"/>
    <row r="36" spans="1:17" ht="15.75" customHeight="1"/>
    <row r="37" spans="1:17" ht="15.75" customHeight="1"/>
    <row r="38" spans="1:17" ht="15.75" customHeight="1"/>
    <row r="39" spans="1:17" ht="15.75" customHeight="1"/>
    <row r="40" spans="1:17" ht="6" customHeight="1"/>
    <row r="41" spans="1:17" ht="31.5" customHeight="1">
      <c r="A41" s="18" t="s">
        <v>97</v>
      </c>
      <c r="B41" s="18" t="s">
        <v>2</v>
      </c>
      <c r="C41" s="18" t="s">
        <v>3</v>
      </c>
      <c r="D41" s="18" t="s">
        <v>4</v>
      </c>
      <c r="E41" s="18" t="s">
        <v>98</v>
      </c>
      <c r="F41" s="18" t="s">
        <v>22</v>
      </c>
      <c r="G41" s="18" t="s">
        <v>23</v>
      </c>
      <c r="H41" s="18" t="s">
        <v>24</v>
      </c>
      <c r="I41" s="18" t="s">
        <v>99</v>
      </c>
      <c r="J41" s="18" t="s">
        <v>100</v>
      </c>
      <c r="K41" s="18" t="s">
        <v>101</v>
      </c>
      <c r="L41" s="33" t="s">
        <v>102</v>
      </c>
      <c r="M41" s="33" t="s">
        <v>103</v>
      </c>
      <c r="N41" s="18" t="s">
        <v>104</v>
      </c>
      <c r="O41" s="18" t="s">
        <v>105</v>
      </c>
      <c r="P41" s="18" t="s">
        <v>106</v>
      </c>
      <c r="Q41" s="18" t="s">
        <v>107</v>
      </c>
    </row>
    <row r="42" spans="1:17" ht="15.75" customHeight="1">
      <c r="A42" s="23" t="s">
        <v>298</v>
      </c>
      <c r="B42" s="21" t="s">
        <v>19</v>
      </c>
      <c r="C42" s="21" t="s">
        <v>7</v>
      </c>
      <c r="D42" s="21" t="s">
        <v>8</v>
      </c>
      <c r="E42" s="21" t="s">
        <v>25</v>
      </c>
      <c r="F42" s="21" t="s">
        <v>30</v>
      </c>
      <c r="G42" s="21" t="s">
        <v>31</v>
      </c>
      <c r="H42" s="21" t="s">
        <v>38</v>
      </c>
      <c r="I42" s="19">
        <v>290000</v>
      </c>
      <c r="J42" s="22">
        <v>1</v>
      </c>
      <c r="K42" s="19">
        <f>I42*J42</f>
        <v>290000</v>
      </c>
      <c r="L42" s="34" t="s">
        <v>299</v>
      </c>
      <c r="M42" s="34">
        <v>46113</v>
      </c>
      <c r="N42" s="48"/>
      <c r="O42" s="20"/>
      <c r="P42" s="20"/>
      <c r="Q42" t="s">
        <v>300</v>
      </c>
    </row>
    <row r="43" spans="1:17" ht="15.75" customHeight="1">
      <c r="A43" s="23" t="s">
        <v>301</v>
      </c>
      <c r="B43" s="21" t="s">
        <v>19</v>
      </c>
      <c r="C43" s="21" t="s">
        <v>11</v>
      </c>
      <c r="D43" s="21" t="s">
        <v>8</v>
      </c>
      <c r="E43" s="21" t="s">
        <v>29</v>
      </c>
      <c r="F43" s="21" t="s">
        <v>26</v>
      </c>
      <c r="G43" s="21" t="s">
        <v>31</v>
      </c>
      <c r="H43" s="21" t="s">
        <v>28</v>
      </c>
      <c r="I43" s="19">
        <v>7137</v>
      </c>
      <c r="J43" s="22">
        <v>1</v>
      </c>
      <c r="K43" s="19">
        <f t="shared" ref="K43:K74" si="0">IF(I43="",0,I43*J43)</f>
        <v>7137</v>
      </c>
      <c r="L43" s="34">
        <v>46032</v>
      </c>
      <c r="M43" s="34">
        <v>46146</v>
      </c>
      <c r="N43" s="48"/>
      <c r="O43" s="20"/>
      <c r="P43" s="20"/>
      <c r="Q43" t="s">
        <v>302</v>
      </c>
    </row>
    <row r="44" spans="1:17" ht="15.75" customHeight="1">
      <c r="A44" s="23" t="s">
        <v>301</v>
      </c>
      <c r="B44" s="21" t="s">
        <v>19</v>
      </c>
      <c r="C44" s="21" t="s">
        <v>11</v>
      </c>
      <c r="D44" s="21" t="s">
        <v>8</v>
      </c>
      <c r="E44" s="21" t="s">
        <v>33</v>
      </c>
      <c r="F44" s="21" t="s">
        <v>26</v>
      </c>
      <c r="G44" s="21" t="s">
        <v>31</v>
      </c>
      <c r="H44" s="21" t="s">
        <v>28</v>
      </c>
      <c r="I44" s="19">
        <v>305576</v>
      </c>
      <c r="J44" s="22">
        <v>1</v>
      </c>
      <c r="K44" s="19">
        <f t="shared" si="0"/>
        <v>305576</v>
      </c>
      <c r="L44" s="34">
        <v>46143</v>
      </c>
      <c r="M44" s="34">
        <v>46299</v>
      </c>
      <c r="N44" s="48"/>
      <c r="O44" s="20"/>
      <c r="P44" s="20"/>
      <c r="Q44" t="s">
        <v>303</v>
      </c>
    </row>
    <row r="45" spans="1:17" ht="15.75" customHeight="1">
      <c r="A45" s="23" t="s">
        <v>304</v>
      </c>
      <c r="B45" s="21" t="s">
        <v>19</v>
      </c>
      <c r="C45" s="21" t="s">
        <v>11</v>
      </c>
      <c r="D45" s="21" t="s">
        <v>8</v>
      </c>
      <c r="E45" s="21" t="s">
        <v>29</v>
      </c>
      <c r="F45" s="21" t="s">
        <v>26</v>
      </c>
      <c r="G45" s="21" t="s">
        <v>31</v>
      </c>
      <c r="H45" s="21" t="s">
        <v>28</v>
      </c>
      <c r="I45" s="19">
        <v>10093</v>
      </c>
      <c r="J45" s="22">
        <v>1</v>
      </c>
      <c r="K45" s="19">
        <f t="shared" si="0"/>
        <v>10093</v>
      </c>
      <c r="L45" s="34">
        <v>46038</v>
      </c>
      <c r="M45" s="34">
        <v>46146</v>
      </c>
      <c r="N45" s="48"/>
      <c r="O45" s="20"/>
      <c r="P45" s="20"/>
      <c r="Q45" t="s">
        <v>305</v>
      </c>
    </row>
    <row r="46" spans="1:17" ht="15.75" customHeight="1">
      <c r="A46" s="23" t="s">
        <v>306</v>
      </c>
      <c r="B46" s="21" t="s">
        <v>19</v>
      </c>
      <c r="C46" s="21" t="s">
        <v>7</v>
      </c>
      <c r="D46" s="21" t="s">
        <v>8</v>
      </c>
      <c r="E46" s="21" t="s">
        <v>25</v>
      </c>
      <c r="F46" s="21" t="s">
        <v>26</v>
      </c>
      <c r="G46" s="21" t="s">
        <v>31</v>
      </c>
      <c r="H46" s="21" t="s">
        <v>32</v>
      </c>
      <c r="I46" s="19">
        <v>40092</v>
      </c>
      <c r="J46" s="22">
        <v>1</v>
      </c>
      <c r="K46" s="19">
        <f t="shared" si="0"/>
        <v>40092</v>
      </c>
      <c r="L46" s="34">
        <v>46069</v>
      </c>
      <c r="M46" s="34" t="s">
        <v>307</v>
      </c>
      <c r="N46" s="48"/>
      <c r="O46" s="20"/>
      <c r="P46" s="23"/>
      <c r="Q46" t="s">
        <v>308</v>
      </c>
    </row>
    <row r="47" spans="1:17" ht="15.75" customHeight="1">
      <c r="A47" s="24" t="s">
        <v>309</v>
      </c>
      <c r="B47" s="21" t="s">
        <v>19</v>
      </c>
      <c r="C47" s="21" t="s">
        <v>11</v>
      </c>
      <c r="D47" s="21" t="s">
        <v>8</v>
      </c>
      <c r="E47" s="21" t="s">
        <v>33</v>
      </c>
      <c r="F47" s="21" t="s">
        <v>34</v>
      </c>
      <c r="G47" s="21" t="s">
        <v>35</v>
      </c>
      <c r="H47" s="21" t="s">
        <v>28</v>
      </c>
      <c r="I47" s="19">
        <v>121000</v>
      </c>
      <c r="J47" s="22">
        <v>1</v>
      </c>
      <c r="K47" s="19">
        <f t="shared" si="0"/>
        <v>121000</v>
      </c>
      <c r="L47" s="34">
        <v>46055</v>
      </c>
      <c r="M47" s="34" t="s">
        <v>310</v>
      </c>
      <c r="N47" s="48"/>
      <c r="O47" s="20"/>
      <c r="P47" s="23"/>
      <c r="Q47" t="s">
        <v>311</v>
      </c>
    </row>
    <row r="48" spans="1:17" ht="15.75" customHeight="1">
      <c r="A48" s="24" t="s">
        <v>309</v>
      </c>
      <c r="B48" s="21" t="s">
        <v>19</v>
      </c>
      <c r="C48" s="21" t="s">
        <v>11</v>
      </c>
      <c r="D48" s="21" t="s">
        <v>8</v>
      </c>
      <c r="E48" s="21" t="s">
        <v>33</v>
      </c>
      <c r="F48" s="21" t="s">
        <v>34</v>
      </c>
      <c r="G48" s="21" t="s">
        <v>35</v>
      </c>
      <c r="H48" s="21" t="s">
        <v>28</v>
      </c>
      <c r="I48" s="19">
        <v>86533</v>
      </c>
      <c r="J48" s="22">
        <v>1</v>
      </c>
      <c r="K48" s="19">
        <f t="shared" si="0"/>
        <v>86533</v>
      </c>
      <c r="L48" s="34">
        <v>46056</v>
      </c>
      <c r="M48" s="34" t="s">
        <v>312</v>
      </c>
      <c r="N48" s="48"/>
      <c r="O48" s="20"/>
      <c r="P48" s="23" t="s">
        <v>313</v>
      </c>
      <c r="Q48" t="s">
        <v>314</v>
      </c>
    </row>
    <row r="49" spans="1:17" ht="15.75" customHeight="1">
      <c r="A49" s="23" t="s">
        <v>315</v>
      </c>
      <c r="B49" s="21" t="s">
        <v>20</v>
      </c>
      <c r="C49" s="21" t="s">
        <v>11</v>
      </c>
      <c r="D49" s="21" t="s">
        <v>15</v>
      </c>
      <c r="E49" s="21" t="s">
        <v>29</v>
      </c>
      <c r="F49" s="21" t="s">
        <v>26</v>
      </c>
      <c r="G49" s="21" t="s">
        <v>31</v>
      </c>
      <c r="H49" s="21" t="s">
        <v>28</v>
      </c>
      <c r="I49" s="19">
        <v>26177</v>
      </c>
      <c r="J49" s="22">
        <v>0</v>
      </c>
      <c r="K49" s="19">
        <f t="shared" si="0"/>
        <v>0</v>
      </c>
      <c r="L49" s="34"/>
      <c r="M49" s="34"/>
      <c r="N49" s="48"/>
      <c r="O49" s="20"/>
      <c r="P49" s="23" t="s">
        <v>316</v>
      </c>
      <c r="Q49" t="s">
        <v>317</v>
      </c>
    </row>
    <row r="50" spans="1:17" ht="15.75" customHeight="1">
      <c r="A50" s="20" t="s">
        <v>318</v>
      </c>
      <c r="B50" s="21" t="s">
        <v>6</v>
      </c>
      <c r="C50" s="21" t="s">
        <v>7</v>
      </c>
      <c r="D50" s="21" t="s">
        <v>8</v>
      </c>
      <c r="E50" s="21" t="s">
        <v>33</v>
      </c>
      <c r="F50" s="21" t="s">
        <v>26</v>
      </c>
      <c r="G50" s="21" t="s">
        <v>27</v>
      </c>
      <c r="H50" s="21" t="s">
        <v>38</v>
      </c>
      <c r="I50" s="19">
        <v>10656762</v>
      </c>
      <c r="J50" s="22">
        <v>0.7</v>
      </c>
      <c r="K50" s="19">
        <f t="shared" si="0"/>
        <v>7459733.3999999994</v>
      </c>
      <c r="L50" s="34"/>
      <c r="M50" s="34"/>
      <c r="N50" s="49">
        <v>46382</v>
      </c>
      <c r="O50" s="23" t="s">
        <v>319</v>
      </c>
      <c r="P50" s="20"/>
      <c r="Q50" t="s">
        <v>320</v>
      </c>
    </row>
    <row r="51" spans="1:17" ht="15.75" customHeight="1">
      <c r="A51" s="23" t="s">
        <v>321</v>
      </c>
      <c r="B51" s="21" t="s">
        <v>6</v>
      </c>
      <c r="C51" s="21" t="s">
        <v>7</v>
      </c>
      <c r="D51" s="21" t="s">
        <v>8</v>
      </c>
      <c r="E51" s="21" t="s">
        <v>29</v>
      </c>
      <c r="F51" s="21" t="s">
        <v>26</v>
      </c>
      <c r="G51" s="21" t="s">
        <v>27</v>
      </c>
      <c r="H51" s="21" t="s">
        <v>28</v>
      </c>
      <c r="I51" s="19">
        <v>4797196</v>
      </c>
      <c r="J51" s="22">
        <v>0.7</v>
      </c>
      <c r="K51" s="19">
        <f t="shared" si="0"/>
        <v>3358037.1999999997</v>
      </c>
      <c r="L51" s="34"/>
      <c r="M51" s="34"/>
      <c r="N51" s="49">
        <v>46321</v>
      </c>
      <c r="O51" s="20" t="s">
        <v>322</v>
      </c>
      <c r="P51" s="20" t="s">
        <v>323</v>
      </c>
      <c r="Q51" t="s">
        <v>324</v>
      </c>
    </row>
    <row r="52" spans="1:17" ht="15.75" customHeight="1">
      <c r="A52" s="20"/>
      <c r="B52" s="21"/>
      <c r="C52" s="21"/>
      <c r="D52" s="21"/>
      <c r="E52" s="21"/>
      <c r="F52" s="21"/>
      <c r="G52" s="21"/>
      <c r="H52" s="21"/>
      <c r="I52" s="19"/>
      <c r="J52" s="22"/>
      <c r="K52" s="19">
        <f t="shared" si="0"/>
        <v>0</v>
      </c>
      <c r="L52" s="34"/>
      <c r="M52" s="34"/>
      <c r="N52" s="48"/>
      <c r="O52" s="20"/>
      <c r="P52" s="20"/>
    </row>
    <row r="53" spans="1:17" ht="15.75" customHeight="1">
      <c r="A53" s="20"/>
      <c r="B53" s="21"/>
      <c r="C53" s="21"/>
      <c r="D53" s="21"/>
      <c r="E53" s="21"/>
      <c r="F53" s="21"/>
      <c r="G53" s="21"/>
      <c r="H53" s="21"/>
      <c r="I53" s="19"/>
      <c r="J53" s="22"/>
      <c r="K53" s="19">
        <f t="shared" si="0"/>
        <v>0</v>
      </c>
      <c r="L53" s="35"/>
      <c r="M53" s="35"/>
      <c r="N53" s="48"/>
      <c r="O53" s="20"/>
      <c r="P53" s="20"/>
    </row>
    <row r="54" spans="1:17" ht="15.75" customHeight="1">
      <c r="A54" s="20"/>
      <c r="B54" s="21"/>
      <c r="C54" s="21"/>
      <c r="D54" s="21"/>
      <c r="E54" s="21"/>
      <c r="F54" s="21"/>
      <c r="G54" s="21"/>
      <c r="H54" s="21"/>
      <c r="I54" s="19"/>
      <c r="J54" s="22"/>
      <c r="K54" s="19">
        <f t="shared" si="0"/>
        <v>0</v>
      </c>
      <c r="L54" s="48"/>
      <c r="M54" s="48"/>
      <c r="N54" s="48"/>
      <c r="O54" s="20"/>
      <c r="P54" s="20"/>
    </row>
    <row r="55" spans="1:17" ht="15.75" customHeight="1">
      <c r="A55" s="20"/>
      <c r="B55" s="21"/>
      <c r="C55" s="21"/>
      <c r="D55" s="21"/>
      <c r="E55" s="21"/>
      <c r="F55" s="21"/>
      <c r="G55" s="21"/>
      <c r="H55" s="21"/>
      <c r="I55" s="19"/>
      <c r="J55" s="22"/>
      <c r="K55" s="19">
        <f t="shared" si="0"/>
        <v>0</v>
      </c>
      <c r="L55" s="48"/>
      <c r="M55" s="48"/>
      <c r="N55" s="48"/>
      <c r="O55" s="20"/>
      <c r="P55" s="20"/>
    </row>
    <row r="56" spans="1:17" ht="15.75" customHeight="1">
      <c r="A56" s="20"/>
      <c r="B56" s="21"/>
      <c r="C56" s="21"/>
      <c r="D56" s="21"/>
      <c r="E56" s="21"/>
      <c r="F56" s="21"/>
      <c r="G56" s="21"/>
      <c r="H56" s="21"/>
      <c r="I56" s="19"/>
      <c r="J56" s="22"/>
      <c r="K56" s="19">
        <f t="shared" si="0"/>
        <v>0</v>
      </c>
      <c r="L56" s="48"/>
      <c r="M56" s="48"/>
      <c r="N56" s="48"/>
      <c r="O56" s="20"/>
      <c r="P56" s="20"/>
    </row>
    <row r="57" spans="1:17" ht="15.75" customHeight="1">
      <c r="A57" s="20"/>
      <c r="B57" s="21"/>
      <c r="C57" s="21"/>
      <c r="D57" s="21"/>
      <c r="E57" s="21"/>
      <c r="F57" s="21"/>
      <c r="G57" s="21"/>
      <c r="H57" s="21"/>
      <c r="I57" s="19"/>
      <c r="J57" s="22"/>
      <c r="K57" s="19">
        <f t="shared" si="0"/>
        <v>0</v>
      </c>
      <c r="L57" s="48"/>
      <c r="M57" s="48"/>
      <c r="N57" s="48"/>
      <c r="O57" s="20"/>
      <c r="P57" s="20"/>
    </row>
    <row r="58" spans="1:17" ht="15.75" customHeight="1">
      <c r="A58" s="20"/>
      <c r="B58" s="21"/>
      <c r="C58" s="21"/>
      <c r="D58" s="21"/>
      <c r="E58" s="21"/>
      <c r="F58" s="21"/>
      <c r="G58" s="21"/>
      <c r="H58" s="21"/>
      <c r="I58" s="19"/>
      <c r="J58" s="22"/>
      <c r="K58" s="19">
        <f t="shared" si="0"/>
        <v>0</v>
      </c>
      <c r="L58" s="48"/>
      <c r="M58" s="48"/>
      <c r="N58" s="48"/>
      <c r="O58" s="20"/>
      <c r="P58" s="20"/>
    </row>
    <row r="59" spans="1:17" ht="15.75" customHeight="1">
      <c r="A59" s="20"/>
      <c r="B59" s="21"/>
      <c r="C59" s="21"/>
      <c r="D59" s="21"/>
      <c r="E59" s="21"/>
      <c r="F59" s="21"/>
      <c r="G59" s="21"/>
      <c r="H59" s="21"/>
      <c r="I59" s="19"/>
      <c r="J59" s="22"/>
      <c r="K59" s="19">
        <f t="shared" si="0"/>
        <v>0</v>
      </c>
      <c r="L59" s="48"/>
      <c r="M59" s="48"/>
      <c r="N59" s="48"/>
      <c r="O59" s="20"/>
      <c r="P59" s="20"/>
    </row>
    <row r="60" spans="1:17" ht="15.75" customHeight="1">
      <c r="A60" s="20"/>
      <c r="B60" s="21"/>
      <c r="C60" s="21"/>
      <c r="D60" s="21"/>
      <c r="E60" s="21"/>
      <c r="F60" s="21"/>
      <c r="G60" s="21"/>
      <c r="H60" s="21"/>
      <c r="I60" s="19"/>
      <c r="J60" s="22"/>
      <c r="K60" s="19">
        <f t="shared" si="0"/>
        <v>0</v>
      </c>
      <c r="L60" s="48"/>
      <c r="M60" s="48"/>
      <c r="N60" s="48"/>
      <c r="O60" s="20"/>
      <c r="P60" s="20"/>
    </row>
    <row r="61" spans="1:17" ht="15.75" customHeight="1">
      <c r="A61" s="20"/>
      <c r="B61" s="21"/>
      <c r="C61" s="21"/>
      <c r="D61" s="21"/>
      <c r="E61" s="21"/>
      <c r="F61" s="21"/>
      <c r="G61" s="21"/>
      <c r="H61" s="21"/>
      <c r="I61" s="19"/>
      <c r="J61" s="22"/>
      <c r="K61" s="19">
        <f t="shared" si="0"/>
        <v>0</v>
      </c>
      <c r="L61" s="48"/>
      <c r="M61" s="48"/>
      <c r="N61" s="48"/>
      <c r="O61" s="20"/>
      <c r="P61" s="20"/>
    </row>
    <row r="62" spans="1:17" ht="15.75" customHeight="1">
      <c r="A62" s="20"/>
      <c r="B62" s="21"/>
      <c r="C62" s="21"/>
      <c r="D62" s="21"/>
      <c r="E62" s="21"/>
      <c r="F62" s="21"/>
      <c r="G62" s="21"/>
      <c r="H62" s="21"/>
      <c r="I62" s="19"/>
      <c r="J62" s="22"/>
      <c r="K62" s="19">
        <f t="shared" si="0"/>
        <v>0</v>
      </c>
      <c r="L62" s="48"/>
      <c r="M62" s="48"/>
      <c r="N62" s="48"/>
      <c r="O62" s="20"/>
      <c r="P62" s="20"/>
    </row>
    <row r="63" spans="1:17" ht="15.75" customHeight="1">
      <c r="A63" s="20"/>
      <c r="B63" s="21"/>
      <c r="C63" s="21"/>
      <c r="D63" s="21"/>
      <c r="E63" s="21"/>
      <c r="F63" s="21"/>
      <c r="G63" s="21"/>
      <c r="H63" s="21"/>
      <c r="I63" s="19"/>
      <c r="J63" s="22"/>
      <c r="K63" s="19">
        <f t="shared" si="0"/>
        <v>0</v>
      </c>
      <c r="L63" s="48"/>
      <c r="M63" s="48"/>
      <c r="N63" s="48"/>
      <c r="O63" s="20"/>
      <c r="P63" s="20"/>
    </row>
    <row r="64" spans="1:17" ht="15.75" customHeight="1">
      <c r="A64" s="20"/>
      <c r="B64" s="21"/>
      <c r="C64" s="21"/>
      <c r="D64" s="21"/>
      <c r="E64" s="21"/>
      <c r="F64" s="21"/>
      <c r="G64" s="21"/>
      <c r="H64" s="21"/>
      <c r="I64" s="19"/>
      <c r="J64" s="22"/>
      <c r="K64" s="19">
        <f t="shared" si="0"/>
        <v>0</v>
      </c>
      <c r="L64" s="48"/>
      <c r="M64" s="48"/>
      <c r="N64" s="48"/>
      <c r="O64" s="20"/>
      <c r="P64" s="20"/>
    </row>
    <row r="65" spans="1:16" ht="15.75" customHeight="1">
      <c r="A65" s="20"/>
      <c r="B65" s="21"/>
      <c r="C65" s="21"/>
      <c r="D65" s="21"/>
      <c r="E65" s="21"/>
      <c r="F65" s="21"/>
      <c r="G65" s="21"/>
      <c r="H65" s="21"/>
      <c r="I65" s="19"/>
      <c r="J65" s="22"/>
      <c r="K65" s="19">
        <f t="shared" si="0"/>
        <v>0</v>
      </c>
      <c r="L65" s="48"/>
      <c r="M65" s="48"/>
      <c r="N65" s="48"/>
      <c r="O65" s="20"/>
      <c r="P65" s="20"/>
    </row>
    <row r="66" spans="1:16" ht="15.75" customHeight="1">
      <c r="A66" s="20"/>
      <c r="B66" s="21"/>
      <c r="C66" s="21"/>
      <c r="D66" s="21"/>
      <c r="E66" s="21"/>
      <c r="F66" s="21"/>
      <c r="G66" s="21"/>
      <c r="H66" s="21"/>
      <c r="I66" s="19"/>
      <c r="J66" s="22"/>
      <c r="K66" s="19">
        <f t="shared" si="0"/>
        <v>0</v>
      </c>
      <c r="L66" s="48"/>
      <c r="M66" s="48"/>
      <c r="N66" s="48"/>
      <c r="O66" s="20"/>
      <c r="P66" s="20"/>
    </row>
    <row r="67" spans="1:16" ht="15.75" customHeight="1">
      <c r="A67" s="20"/>
      <c r="B67" s="21"/>
      <c r="C67" s="21"/>
      <c r="D67" s="21"/>
      <c r="E67" s="21"/>
      <c r="F67" s="21"/>
      <c r="G67" s="21"/>
      <c r="H67" s="21"/>
      <c r="I67" s="19"/>
      <c r="J67" s="22"/>
      <c r="K67" s="19">
        <f t="shared" si="0"/>
        <v>0</v>
      </c>
      <c r="L67" s="48"/>
      <c r="M67" s="48"/>
      <c r="N67" s="48"/>
      <c r="O67" s="20"/>
      <c r="P67" s="20"/>
    </row>
    <row r="68" spans="1:16" ht="15.75" customHeight="1">
      <c r="A68" s="20"/>
      <c r="B68" s="21"/>
      <c r="C68" s="21"/>
      <c r="D68" s="21"/>
      <c r="E68" s="21"/>
      <c r="F68" s="21"/>
      <c r="G68" s="21"/>
      <c r="H68" s="21"/>
      <c r="I68" s="19"/>
      <c r="J68" s="22"/>
      <c r="K68" s="19">
        <f t="shared" si="0"/>
        <v>0</v>
      </c>
      <c r="L68" s="48"/>
      <c r="M68" s="48"/>
      <c r="N68" s="48"/>
      <c r="O68" s="20"/>
      <c r="P68" s="20"/>
    </row>
    <row r="69" spans="1:16" ht="15.75" customHeight="1">
      <c r="A69" s="20"/>
      <c r="B69" s="21"/>
      <c r="C69" s="21"/>
      <c r="D69" s="21"/>
      <c r="E69" s="21"/>
      <c r="F69" s="21"/>
      <c r="G69" s="21"/>
      <c r="H69" s="21"/>
      <c r="I69" s="19"/>
      <c r="J69" s="22"/>
      <c r="K69" s="19">
        <f t="shared" si="0"/>
        <v>0</v>
      </c>
      <c r="L69" s="48"/>
      <c r="M69" s="48"/>
      <c r="N69" s="48"/>
      <c r="O69" s="20"/>
      <c r="P69" s="20"/>
    </row>
    <row r="70" spans="1:16" ht="15.75" customHeight="1">
      <c r="A70" s="20"/>
      <c r="B70" s="21"/>
      <c r="C70" s="21"/>
      <c r="D70" s="21"/>
      <c r="E70" s="21"/>
      <c r="F70" s="21"/>
      <c r="G70" s="21"/>
      <c r="H70" s="21"/>
      <c r="I70" s="19"/>
      <c r="J70" s="22"/>
      <c r="K70" s="19">
        <f t="shared" si="0"/>
        <v>0</v>
      </c>
      <c r="L70" s="48"/>
      <c r="M70" s="48"/>
      <c r="N70" s="48"/>
      <c r="O70" s="20"/>
      <c r="P70" s="20"/>
    </row>
    <row r="71" spans="1:16" ht="15.75" customHeight="1">
      <c r="A71" s="20"/>
      <c r="B71" s="21"/>
      <c r="C71" s="21"/>
      <c r="D71" s="21"/>
      <c r="E71" s="21"/>
      <c r="F71" s="21"/>
      <c r="G71" s="21"/>
      <c r="H71" s="21"/>
      <c r="I71" s="19"/>
      <c r="J71" s="22"/>
      <c r="K71" s="19">
        <f t="shared" si="0"/>
        <v>0</v>
      </c>
      <c r="L71" s="48"/>
      <c r="M71" s="48"/>
      <c r="N71" s="48"/>
      <c r="O71" s="20"/>
      <c r="P71" s="20"/>
    </row>
    <row r="72" spans="1:16" ht="15.75" customHeight="1">
      <c r="A72" s="20"/>
      <c r="B72" s="21"/>
      <c r="C72" s="21"/>
      <c r="D72" s="21"/>
      <c r="E72" s="21"/>
      <c r="F72" s="21"/>
      <c r="G72" s="21"/>
      <c r="H72" s="21"/>
      <c r="I72" s="19"/>
      <c r="J72" s="22"/>
      <c r="K72" s="19">
        <f t="shared" si="0"/>
        <v>0</v>
      </c>
      <c r="L72" s="48"/>
      <c r="M72" s="48"/>
      <c r="N72" s="48"/>
      <c r="O72" s="20"/>
      <c r="P72" s="20"/>
    </row>
    <row r="73" spans="1:16" ht="15.75" customHeight="1">
      <c r="A73" s="20"/>
      <c r="B73" s="21"/>
      <c r="C73" s="21"/>
      <c r="D73" s="21"/>
      <c r="E73" s="21"/>
      <c r="F73" s="21"/>
      <c r="G73" s="21"/>
      <c r="H73" s="21"/>
      <c r="I73" s="19"/>
      <c r="J73" s="22"/>
      <c r="K73" s="19">
        <f t="shared" si="0"/>
        <v>0</v>
      </c>
      <c r="L73" s="48"/>
      <c r="M73" s="48"/>
      <c r="N73" s="48"/>
      <c r="O73" s="20"/>
      <c r="P73" s="20"/>
    </row>
    <row r="74" spans="1:16" ht="15.75" customHeight="1">
      <c r="A74" s="20"/>
      <c r="B74" s="21"/>
      <c r="C74" s="21"/>
      <c r="D74" s="21"/>
      <c r="E74" s="21"/>
      <c r="F74" s="21"/>
      <c r="G74" s="21"/>
      <c r="H74" s="21"/>
      <c r="I74" s="19"/>
      <c r="J74" s="22"/>
      <c r="K74" s="19">
        <f t="shared" si="0"/>
        <v>0</v>
      </c>
      <c r="L74" s="48"/>
      <c r="M74" s="48"/>
      <c r="N74" s="48"/>
      <c r="O74" s="20"/>
      <c r="P74" s="20"/>
    </row>
    <row r="75" spans="1:16" ht="15.75" customHeight="1">
      <c r="A75" s="20"/>
      <c r="B75" s="21"/>
      <c r="C75" s="21"/>
      <c r="D75" s="21"/>
      <c r="E75" s="21"/>
      <c r="F75" s="21"/>
      <c r="G75" s="21"/>
      <c r="H75" s="21"/>
      <c r="I75" s="19"/>
      <c r="J75" s="22"/>
      <c r="K75" s="19">
        <f t="shared" ref="K75:K106" si="1">IF(I75="",0,I75*J75)</f>
        <v>0</v>
      </c>
      <c r="L75" s="48"/>
      <c r="M75" s="48"/>
      <c r="N75" s="48"/>
      <c r="O75" s="20"/>
      <c r="P75" s="20"/>
    </row>
    <row r="76" spans="1:16" ht="15.75" customHeight="1">
      <c r="A76" s="20"/>
      <c r="B76" s="21"/>
      <c r="C76" s="21"/>
      <c r="D76" s="21"/>
      <c r="E76" s="21"/>
      <c r="F76" s="21"/>
      <c r="G76" s="21"/>
      <c r="H76" s="21"/>
      <c r="I76" s="19"/>
      <c r="J76" s="22"/>
      <c r="K76" s="19">
        <f t="shared" si="1"/>
        <v>0</v>
      </c>
      <c r="L76" s="48"/>
      <c r="M76" s="48"/>
      <c r="N76" s="48"/>
      <c r="O76" s="20"/>
      <c r="P76" s="20"/>
    </row>
    <row r="77" spans="1:16" ht="15.75" customHeight="1">
      <c r="A77" s="20"/>
      <c r="B77" s="21"/>
      <c r="C77" s="21"/>
      <c r="D77" s="21"/>
      <c r="E77" s="21"/>
      <c r="F77" s="21"/>
      <c r="G77" s="21"/>
      <c r="H77" s="21"/>
      <c r="I77" s="19"/>
      <c r="J77" s="22"/>
      <c r="K77" s="19">
        <f t="shared" si="1"/>
        <v>0</v>
      </c>
      <c r="L77" s="48"/>
      <c r="M77" s="48"/>
      <c r="N77" s="48"/>
      <c r="O77" s="20"/>
      <c r="P77" s="20"/>
    </row>
    <row r="78" spans="1:16" ht="15.75" customHeight="1">
      <c r="A78" s="20"/>
      <c r="B78" s="21"/>
      <c r="C78" s="21"/>
      <c r="D78" s="21"/>
      <c r="E78" s="21"/>
      <c r="F78" s="21"/>
      <c r="G78" s="21"/>
      <c r="H78" s="21"/>
      <c r="I78" s="19"/>
      <c r="J78" s="22"/>
      <c r="K78" s="19">
        <f t="shared" si="1"/>
        <v>0</v>
      </c>
      <c r="L78" s="48"/>
      <c r="M78" s="48"/>
      <c r="N78" s="48"/>
      <c r="O78" s="20"/>
      <c r="P78" s="20"/>
    </row>
    <row r="79" spans="1:16" ht="15.75" customHeight="1">
      <c r="A79" s="20"/>
      <c r="B79" s="21"/>
      <c r="C79" s="21"/>
      <c r="D79" s="21"/>
      <c r="E79" s="21"/>
      <c r="F79" s="21"/>
      <c r="G79" s="21"/>
      <c r="H79" s="21"/>
      <c r="I79" s="19"/>
      <c r="J79" s="22"/>
      <c r="K79" s="19">
        <f t="shared" si="1"/>
        <v>0</v>
      </c>
      <c r="L79" s="48"/>
      <c r="M79" s="48"/>
      <c r="N79" s="48"/>
      <c r="O79" s="20"/>
      <c r="P79" s="20"/>
    </row>
    <row r="80" spans="1:16" ht="15.75" customHeight="1">
      <c r="A80" s="20"/>
      <c r="B80" s="21"/>
      <c r="C80" s="21"/>
      <c r="D80" s="21"/>
      <c r="E80" s="21"/>
      <c r="F80" s="21"/>
      <c r="G80" s="21"/>
      <c r="H80" s="21"/>
      <c r="I80" s="19"/>
      <c r="J80" s="22"/>
      <c r="K80" s="19">
        <f t="shared" si="1"/>
        <v>0</v>
      </c>
      <c r="L80" s="48"/>
      <c r="M80" s="48"/>
      <c r="N80" s="48"/>
      <c r="O80" s="20"/>
      <c r="P80" s="20"/>
    </row>
    <row r="81" spans="1:16" ht="15.75" customHeight="1">
      <c r="A81" s="20"/>
      <c r="B81" s="21"/>
      <c r="C81" s="21"/>
      <c r="D81" s="21"/>
      <c r="E81" s="21"/>
      <c r="F81" s="21"/>
      <c r="G81" s="21"/>
      <c r="H81" s="21"/>
      <c r="I81" s="19"/>
      <c r="J81" s="22"/>
      <c r="K81" s="19">
        <f t="shared" si="1"/>
        <v>0</v>
      </c>
      <c r="L81" s="48"/>
      <c r="M81" s="48"/>
      <c r="N81" s="48"/>
      <c r="O81" s="20"/>
      <c r="P81" s="20"/>
    </row>
    <row r="82" spans="1:16" ht="15.75" customHeight="1">
      <c r="A82" s="20"/>
      <c r="B82" s="21"/>
      <c r="C82" s="21"/>
      <c r="D82" s="21"/>
      <c r="E82" s="21"/>
      <c r="F82" s="21"/>
      <c r="G82" s="21"/>
      <c r="H82" s="21"/>
      <c r="I82" s="19"/>
      <c r="J82" s="22"/>
      <c r="K82" s="19">
        <f t="shared" si="1"/>
        <v>0</v>
      </c>
      <c r="L82" s="48"/>
      <c r="M82" s="48"/>
      <c r="N82" s="48"/>
      <c r="O82" s="20"/>
      <c r="P82" s="20"/>
    </row>
    <row r="83" spans="1:16" ht="15.75" customHeight="1">
      <c r="A83" s="20"/>
      <c r="B83" s="21"/>
      <c r="C83" s="21"/>
      <c r="D83" s="21"/>
      <c r="E83" s="21"/>
      <c r="F83" s="21"/>
      <c r="G83" s="21"/>
      <c r="H83" s="21"/>
      <c r="I83" s="19"/>
      <c r="J83" s="22"/>
      <c r="K83" s="19">
        <f t="shared" si="1"/>
        <v>0</v>
      </c>
      <c r="L83" s="48"/>
      <c r="M83" s="48"/>
      <c r="N83" s="48"/>
      <c r="O83" s="20"/>
      <c r="P83" s="20"/>
    </row>
    <row r="84" spans="1:16" ht="15.75" customHeight="1">
      <c r="A84" s="20"/>
      <c r="B84" s="21"/>
      <c r="C84" s="21"/>
      <c r="D84" s="21"/>
      <c r="E84" s="21"/>
      <c r="F84" s="21"/>
      <c r="G84" s="21"/>
      <c r="H84" s="21"/>
      <c r="I84" s="19"/>
      <c r="J84" s="22"/>
      <c r="K84" s="19">
        <f t="shared" si="1"/>
        <v>0</v>
      </c>
      <c r="L84" s="48"/>
      <c r="M84" s="48"/>
      <c r="N84" s="48"/>
      <c r="O84" s="20"/>
      <c r="P84" s="20"/>
    </row>
    <row r="85" spans="1:16" ht="15.75" customHeight="1">
      <c r="A85" s="20"/>
      <c r="B85" s="21"/>
      <c r="C85" s="21"/>
      <c r="D85" s="21"/>
      <c r="E85" s="21"/>
      <c r="F85" s="21"/>
      <c r="G85" s="21"/>
      <c r="H85" s="21"/>
      <c r="I85" s="19"/>
      <c r="J85" s="22"/>
      <c r="K85" s="19">
        <f t="shared" si="1"/>
        <v>0</v>
      </c>
      <c r="L85" s="48"/>
      <c r="M85" s="48"/>
      <c r="N85" s="48"/>
      <c r="O85" s="20"/>
      <c r="P85" s="20"/>
    </row>
    <row r="86" spans="1:16" ht="15.75" customHeight="1">
      <c r="A86" s="20"/>
      <c r="B86" s="21"/>
      <c r="C86" s="21"/>
      <c r="D86" s="21"/>
      <c r="E86" s="21"/>
      <c r="F86" s="21"/>
      <c r="G86" s="21"/>
      <c r="H86" s="21"/>
      <c r="I86" s="19"/>
      <c r="J86" s="22"/>
      <c r="K86" s="19">
        <f t="shared" si="1"/>
        <v>0</v>
      </c>
      <c r="L86" s="48"/>
      <c r="M86" s="48"/>
      <c r="N86" s="48"/>
      <c r="O86" s="20"/>
      <c r="P86" s="20"/>
    </row>
    <row r="87" spans="1:16" ht="15.75" customHeight="1">
      <c r="A87" s="20"/>
      <c r="B87" s="21"/>
      <c r="C87" s="21"/>
      <c r="D87" s="21"/>
      <c r="E87" s="21"/>
      <c r="F87" s="21"/>
      <c r="G87" s="21"/>
      <c r="H87" s="21"/>
      <c r="I87" s="19"/>
      <c r="J87" s="22"/>
      <c r="K87" s="19">
        <f t="shared" si="1"/>
        <v>0</v>
      </c>
      <c r="L87" s="48"/>
      <c r="M87" s="48"/>
      <c r="N87" s="48"/>
      <c r="O87" s="20"/>
      <c r="P87" s="20"/>
    </row>
    <row r="88" spans="1:16" ht="15.75" customHeight="1">
      <c r="A88" s="20"/>
      <c r="B88" s="21"/>
      <c r="C88" s="21"/>
      <c r="D88" s="21"/>
      <c r="E88" s="21"/>
      <c r="F88" s="21"/>
      <c r="G88" s="21"/>
      <c r="H88" s="21"/>
      <c r="I88" s="19"/>
      <c r="J88" s="22"/>
      <c r="K88" s="19">
        <f t="shared" si="1"/>
        <v>0</v>
      </c>
      <c r="L88" s="48"/>
      <c r="M88" s="48"/>
      <c r="N88" s="48"/>
      <c r="O88" s="20"/>
      <c r="P88" s="20"/>
    </row>
    <row r="89" spans="1:16" ht="15.75" customHeight="1">
      <c r="A89" s="20"/>
      <c r="B89" s="21"/>
      <c r="C89" s="21"/>
      <c r="D89" s="21"/>
      <c r="E89" s="21"/>
      <c r="F89" s="21"/>
      <c r="G89" s="21"/>
      <c r="H89" s="21"/>
      <c r="I89" s="19"/>
      <c r="J89" s="22"/>
      <c r="K89" s="19">
        <f t="shared" si="1"/>
        <v>0</v>
      </c>
      <c r="L89" s="48"/>
      <c r="M89" s="48"/>
      <c r="N89" s="48"/>
      <c r="O89" s="20"/>
      <c r="P89" s="20"/>
    </row>
    <row r="90" spans="1:16" ht="15.75" customHeight="1">
      <c r="A90" s="20"/>
      <c r="B90" s="21"/>
      <c r="C90" s="21"/>
      <c r="D90" s="21"/>
      <c r="E90" s="21"/>
      <c r="F90" s="21"/>
      <c r="G90" s="21"/>
      <c r="H90" s="21"/>
      <c r="I90" s="19"/>
      <c r="J90" s="22"/>
      <c r="K90" s="19">
        <f t="shared" si="1"/>
        <v>0</v>
      </c>
      <c r="L90" s="48"/>
      <c r="M90" s="48"/>
      <c r="N90" s="48"/>
      <c r="O90" s="20"/>
      <c r="P90" s="20"/>
    </row>
    <row r="91" spans="1:16" ht="15.75" customHeight="1">
      <c r="A91" s="20"/>
      <c r="B91" s="21"/>
      <c r="C91" s="21"/>
      <c r="D91" s="21"/>
      <c r="E91" s="21"/>
      <c r="F91" s="21"/>
      <c r="G91" s="21"/>
      <c r="H91" s="21"/>
      <c r="I91" s="19"/>
      <c r="J91" s="22"/>
      <c r="K91" s="19">
        <f t="shared" si="1"/>
        <v>0</v>
      </c>
      <c r="L91" s="48"/>
      <c r="M91" s="48"/>
      <c r="N91" s="48"/>
      <c r="O91" s="20"/>
      <c r="P91" s="20"/>
    </row>
    <row r="92" spans="1:16" ht="15.75" customHeight="1">
      <c r="A92" s="20"/>
      <c r="B92" s="21"/>
      <c r="C92" s="21"/>
      <c r="D92" s="21"/>
      <c r="E92" s="21"/>
      <c r="F92" s="21"/>
      <c r="G92" s="21"/>
      <c r="H92" s="21"/>
      <c r="I92" s="19"/>
      <c r="J92" s="22"/>
      <c r="K92" s="19">
        <f t="shared" si="1"/>
        <v>0</v>
      </c>
      <c r="L92" s="48"/>
      <c r="M92" s="48"/>
      <c r="N92" s="48"/>
      <c r="O92" s="20"/>
      <c r="P92" s="20"/>
    </row>
    <row r="93" spans="1:16" ht="15.75" customHeight="1">
      <c r="A93" s="20"/>
      <c r="B93" s="21"/>
      <c r="C93" s="21"/>
      <c r="D93" s="21"/>
      <c r="E93" s="21"/>
      <c r="F93" s="21"/>
      <c r="G93" s="21"/>
      <c r="H93" s="21"/>
      <c r="I93" s="19"/>
      <c r="J93" s="22"/>
      <c r="K93" s="19">
        <f t="shared" si="1"/>
        <v>0</v>
      </c>
      <c r="L93" s="48"/>
      <c r="M93" s="48"/>
      <c r="N93" s="48"/>
      <c r="O93" s="20"/>
      <c r="P93" s="20"/>
    </row>
    <row r="94" spans="1:16" ht="15.75" customHeight="1">
      <c r="A94" s="20"/>
      <c r="B94" s="21"/>
      <c r="C94" s="21"/>
      <c r="D94" s="21"/>
      <c r="E94" s="21"/>
      <c r="F94" s="21"/>
      <c r="G94" s="21"/>
      <c r="H94" s="21"/>
      <c r="I94" s="19"/>
      <c r="J94" s="22"/>
      <c r="K94" s="19">
        <f t="shared" si="1"/>
        <v>0</v>
      </c>
      <c r="L94" s="48"/>
      <c r="M94" s="48"/>
      <c r="N94" s="48"/>
      <c r="O94" s="20"/>
      <c r="P94" s="20"/>
    </row>
    <row r="95" spans="1:16" ht="15.75" customHeight="1">
      <c r="A95" s="20"/>
      <c r="B95" s="21"/>
      <c r="C95" s="21"/>
      <c r="D95" s="21"/>
      <c r="E95" s="21"/>
      <c r="F95" s="21"/>
      <c r="G95" s="21"/>
      <c r="H95" s="21"/>
      <c r="I95" s="19"/>
      <c r="J95" s="22"/>
      <c r="K95" s="19">
        <f t="shared" si="1"/>
        <v>0</v>
      </c>
      <c r="L95" s="48"/>
      <c r="M95" s="48"/>
      <c r="N95" s="48"/>
      <c r="O95" s="20"/>
      <c r="P95" s="20"/>
    </row>
    <row r="96" spans="1:16" ht="15.75" customHeight="1">
      <c r="A96" s="20"/>
      <c r="B96" s="21"/>
      <c r="C96" s="21"/>
      <c r="D96" s="21"/>
      <c r="E96" s="21"/>
      <c r="F96" s="21"/>
      <c r="G96" s="21"/>
      <c r="H96" s="21"/>
      <c r="I96" s="19"/>
      <c r="J96" s="22"/>
      <c r="K96" s="19">
        <f t="shared" si="1"/>
        <v>0</v>
      </c>
      <c r="L96" s="48"/>
      <c r="M96" s="48"/>
      <c r="N96" s="48"/>
      <c r="O96" s="20"/>
      <c r="P96" s="20"/>
    </row>
    <row r="97" spans="1:16" ht="15.75" customHeight="1">
      <c r="A97" s="20"/>
      <c r="B97" s="21"/>
      <c r="C97" s="21"/>
      <c r="D97" s="21"/>
      <c r="E97" s="21"/>
      <c r="F97" s="21"/>
      <c r="G97" s="21"/>
      <c r="H97" s="21"/>
      <c r="I97" s="19"/>
      <c r="J97" s="22"/>
      <c r="K97" s="19">
        <f t="shared" si="1"/>
        <v>0</v>
      </c>
      <c r="L97" s="48"/>
      <c r="M97" s="48"/>
      <c r="N97" s="48"/>
      <c r="O97" s="20"/>
      <c r="P97" s="20"/>
    </row>
    <row r="98" spans="1:16" ht="15.75" customHeight="1">
      <c r="A98" s="20"/>
      <c r="B98" s="21"/>
      <c r="C98" s="21"/>
      <c r="D98" s="21"/>
      <c r="E98" s="21"/>
      <c r="F98" s="21"/>
      <c r="G98" s="21"/>
      <c r="H98" s="21"/>
      <c r="I98" s="19"/>
      <c r="J98" s="22"/>
      <c r="K98" s="19">
        <f t="shared" si="1"/>
        <v>0</v>
      </c>
      <c r="L98" s="48"/>
      <c r="M98" s="48"/>
      <c r="N98" s="48"/>
      <c r="O98" s="20"/>
      <c r="P98" s="20"/>
    </row>
    <row r="99" spans="1:16" ht="15.75" customHeight="1">
      <c r="A99" s="20"/>
      <c r="B99" s="21"/>
      <c r="C99" s="21"/>
      <c r="D99" s="21"/>
      <c r="E99" s="21"/>
      <c r="F99" s="21"/>
      <c r="G99" s="21"/>
      <c r="H99" s="21"/>
      <c r="I99" s="19"/>
      <c r="J99" s="22"/>
      <c r="K99" s="19">
        <f t="shared" si="1"/>
        <v>0</v>
      </c>
      <c r="L99" s="48"/>
      <c r="M99" s="48"/>
      <c r="N99" s="48"/>
      <c r="O99" s="20"/>
      <c r="P99" s="20"/>
    </row>
    <row r="100" spans="1:16" ht="15.75" customHeight="1">
      <c r="A100" s="20"/>
      <c r="B100" s="21"/>
      <c r="C100" s="21"/>
      <c r="D100" s="21"/>
      <c r="E100" s="21"/>
      <c r="F100" s="21"/>
      <c r="G100" s="21"/>
      <c r="H100" s="21"/>
      <c r="I100" s="19"/>
      <c r="J100" s="22"/>
      <c r="K100" s="19">
        <f t="shared" si="1"/>
        <v>0</v>
      </c>
      <c r="L100" s="48"/>
      <c r="M100" s="48"/>
      <c r="N100" s="48"/>
      <c r="O100" s="20"/>
      <c r="P100" s="20"/>
    </row>
    <row r="101" spans="1:16" ht="15.75" customHeight="1">
      <c r="A101" s="20"/>
      <c r="B101" s="21"/>
      <c r="C101" s="21"/>
      <c r="D101" s="21"/>
      <c r="E101" s="21"/>
      <c r="F101" s="21"/>
      <c r="G101" s="21"/>
      <c r="H101" s="21"/>
      <c r="I101" s="19"/>
      <c r="J101" s="22"/>
      <c r="K101" s="19">
        <f t="shared" si="1"/>
        <v>0</v>
      </c>
      <c r="L101" s="48"/>
      <c r="M101" s="48"/>
      <c r="N101" s="48"/>
      <c r="O101" s="20"/>
      <c r="P101" s="20"/>
    </row>
    <row r="102" spans="1:16" ht="15.75" customHeight="1">
      <c r="A102" s="20"/>
      <c r="B102" s="21"/>
      <c r="C102" s="21"/>
      <c r="D102" s="21"/>
      <c r="E102" s="21"/>
      <c r="F102" s="21"/>
      <c r="G102" s="21"/>
      <c r="H102" s="21"/>
      <c r="I102" s="19"/>
      <c r="J102" s="22"/>
      <c r="K102" s="19">
        <f t="shared" si="1"/>
        <v>0</v>
      </c>
      <c r="L102" s="48"/>
      <c r="M102" s="48"/>
      <c r="N102" s="48"/>
      <c r="O102" s="20"/>
      <c r="P102" s="20"/>
    </row>
    <row r="103" spans="1:16" ht="15.75" customHeight="1">
      <c r="A103" s="20"/>
      <c r="B103" s="21"/>
      <c r="C103" s="21"/>
      <c r="D103" s="21"/>
      <c r="E103" s="21"/>
      <c r="F103" s="21"/>
      <c r="G103" s="21"/>
      <c r="H103" s="21"/>
      <c r="I103" s="19"/>
      <c r="J103" s="22"/>
      <c r="K103" s="19">
        <f t="shared" si="1"/>
        <v>0</v>
      </c>
      <c r="L103" s="48"/>
      <c r="M103" s="48"/>
      <c r="N103" s="48"/>
      <c r="O103" s="20"/>
      <c r="P103" s="20"/>
    </row>
    <row r="104" spans="1:16" ht="15.75" customHeight="1">
      <c r="A104" s="20"/>
      <c r="B104" s="21"/>
      <c r="C104" s="21"/>
      <c r="D104" s="21"/>
      <c r="E104" s="21"/>
      <c r="F104" s="21"/>
      <c r="G104" s="21"/>
      <c r="H104" s="21"/>
      <c r="I104" s="19"/>
      <c r="J104" s="22"/>
      <c r="K104" s="19">
        <f t="shared" si="1"/>
        <v>0</v>
      </c>
      <c r="L104" s="48"/>
      <c r="M104" s="48"/>
      <c r="N104" s="48"/>
      <c r="O104" s="20"/>
      <c r="P104" s="20"/>
    </row>
    <row r="105" spans="1:16" ht="15.75" customHeight="1">
      <c r="A105" s="20"/>
      <c r="B105" s="21"/>
      <c r="C105" s="21"/>
      <c r="D105" s="21"/>
      <c r="E105" s="21"/>
      <c r="F105" s="21"/>
      <c r="G105" s="21"/>
      <c r="H105" s="21"/>
      <c r="I105" s="19"/>
      <c r="J105" s="22"/>
      <c r="K105" s="19">
        <f t="shared" si="1"/>
        <v>0</v>
      </c>
      <c r="L105" s="48"/>
      <c r="M105" s="48"/>
      <c r="N105" s="48"/>
      <c r="O105" s="20"/>
      <c r="P105" s="20"/>
    </row>
    <row r="106" spans="1:16" ht="15.75" customHeight="1">
      <c r="A106" s="20"/>
      <c r="B106" s="21"/>
      <c r="C106" s="21"/>
      <c r="D106" s="21"/>
      <c r="E106" s="21"/>
      <c r="F106" s="21"/>
      <c r="G106" s="21"/>
      <c r="H106" s="21"/>
      <c r="I106" s="19"/>
      <c r="J106" s="22"/>
      <c r="K106" s="19">
        <f t="shared" si="1"/>
        <v>0</v>
      </c>
      <c r="L106" s="48"/>
      <c r="M106" s="48"/>
      <c r="N106" s="48"/>
      <c r="O106" s="20"/>
      <c r="P106" s="20"/>
    </row>
    <row r="107" spans="1:16" ht="15.75" customHeight="1">
      <c r="A107" s="20"/>
      <c r="B107" s="21"/>
      <c r="C107" s="21"/>
      <c r="D107" s="21"/>
      <c r="E107" s="21"/>
      <c r="F107" s="21"/>
      <c r="G107" s="21"/>
      <c r="H107" s="21"/>
      <c r="I107" s="19"/>
      <c r="J107" s="22"/>
      <c r="K107" s="19">
        <f t="shared" ref="K107:K138" si="2">IF(I107="",0,I107*J107)</f>
        <v>0</v>
      </c>
      <c r="L107" s="48"/>
      <c r="M107" s="48"/>
      <c r="N107" s="48"/>
      <c r="O107" s="20"/>
      <c r="P107" s="20"/>
    </row>
    <row r="108" spans="1:16" ht="15.75" customHeight="1">
      <c r="A108" s="20"/>
      <c r="B108" s="21"/>
      <c r="C108" s="21"/>
      <c r="D108" s="21"/>
      <c r="E108" s="21"/>
      <c r="F108" s="21"/>
      <c r="G108" s="21"/>
      <c r="H108" s="21"/>
      <c r="I108" s="19"/>
      <c r="J108" s="22"/>
      <c r="K108" s="19">
        <f t="shared" si="2"/>
        <v>0</v>
      </c>
      <c r="L108" s="48"/>
      <c r="M108" s="48"/>
      <c r="N108" s="48"/>
      <c r="O108" s="20"/>
      <c r="P108" s="20"/>
    </row>
    <row r="109" spans="1:16" ht="15.75" customHeight="1">
      <c r="A109" s="20"/>
      <c r="B109" s="21"/>
      <c r="C109" s="21"/>
      <c r="D109" s="21"/>
      <c r="E109" s="21"/>
      <c r="F109" s="21"/>
      <c r="G109" s="21"/>
      <c r="H109" s="21"/>
      <c r="I109" s="19"/>
      <c r="J109" s="22"/>
      <c r="K109" s="19">
        <f t="shared" si="2"/>
        <v>0</v>
      </c>
      <c r="L109" s="48"/>
      <c r="M109" s="48"/>
      <c r="N109" s="48"/>
      <c r="O109" s="20"/>
      <c r="P109" s="20"/>
    </row>
    <row r="110" spans="1:16" ht="15.75" customHeight="1">
      <c r="A110" s="20"/>
      <c r="B110" s="21"/>
      <c r="C110" s="21"/>
      <c r="D110" s="21"/>
      <c r="E110" s="21"/>
      <c r="F110" s="21"/>
      <c r="G110" s="21"/>
      <c r="H110" s="21"/>
      <c r="I110" s="19"/>
      <c r="J110" s="22"/>
      <c r="K110" s="19">
        <f t="shared" si="2"/>
        <v>0</v>
      </c>
      <c r="L110" s="48"/>
      <c r="M110" s="48"/>
      <c r="N110" s="48"/>
      <c r="O110" s="20"/>
      <c r="P110" s="20"/>
    </row>
    <row r="111" spans="1:16" ht="15.75" customHeight="1">
      <c r="A111" s="20"/>
      <c r="B111" s="21"/>
      <c r="C111" s="21"/>
      <c r="D111" s="21"/>
      <c r="E111" s="21"/>
      <c r="F111" s="21"/>
      <c r="G111" s="21"/>
      <c r="H111" s="21"/>
      <c r="I111" s="19"/>
      <c r="J111" s="22"/>
      <c r="K111" s="19">
        <f t="shared" si="2"/>
        <v>0</v>
      </c>
      <c r="L111" s="48"/>
      <c r="M111" s="48"/>
      <c r="N111" s="48"/>
      <c r="O111" s="20"/>
      <c r="P111" s="20"/>
    </row>
    <row r="112" spans="1:16" ht="15.75" customHeight="1">
      <c r="A112" s="20"/>
      <c r="B112" s="21"/>
      <c r="C112" s="21"/>
      <c r="D112" s="21"/>
      <c r="E112" s="21"/>
      <c r="F112" s="21"/>
      <c r="G112" s="21"/>
      <c r="H112" s="21"/>
      <c r="I112" s="19"/>
      <c r="J112" s="22"/>
      <c r="K112" s="19">
        <f t="shared" si="2"/>
        <v>0</v>
      </c>
      <c r="L112" s="48"/>
      <c r="M112" s="48"/>
      <c r="N112" s="48"/>
      <c r="O112" s="20"/>
      <c r="P112" s="20"/>
    </row>
    <row r="113" spans="1:16" ht="15.75" customHeight="1">
      <c r="A113" s="20"/>
      <c r="B113" s="21"/>
      <c r="C113" s="21"/>
      <c r="D113" s="21"/>
      <c r="E113" s="21"/>
      <c r="F113" s="21"/>
      <c r="G113" s="21"/>
      <c r="H113" s="21"/>
      <c r="I113" s="19"/>
      <c r="J113" s="22"/>
      <c r="K113" s="19">
        <f t="shared" si="2"/>
        <v>0</v>
      </c>
      <c r="L113" s="48"/>
      <c r="M113" s="48"/>
      <c r="N113" s="48"/>
      <c r="O113" s="20"/>
      <c r="P113" s="20"/>
    </row>
    <row r="114" spans="1:16" ht="15.75" customHeight="1">
      <c r="A114" s="20"/>
      <c r="B114" s="21"/>
      <c r="C114" s="21"/>
      <c r="D114" s="21"/>
      <c r="E114" s="21"/>
      <c r="F114" s="21"/>
      <c r="G114" s="21"/>
      <c r="H114" s="21"/>
      <c r="I114" s="19"/>
      <c r="J114" s="22"/>
      <c r="K114" s="19">
        <f t="shared" si="2"/>
        <v>0</v>
      </c>
      <c r="L114" s="48"/>
      <c r="M114" s="48"/>
      <c r="N114" s="48"/>
      <c r="O114" s="20"/>
      <c r="P114" s="20"/>
    </row>
    <row r="115" spans="1:16" ht="15.75" customHeight="1">
      <c r="A115" s="20"/>
      <c r="B115" s="21"/>
      <c r="C115" s="21"/>
      <c r="D115" s="21"/>
      <c r="E115" s="21"/>
      <c r="F115" s="21"/>
      <c r="G115" s="21"/>
      <c r="H115" s="21"/>
      <c r="I115" s="19"/>
      <c r="J115" s="22"/>
      <c r="K115" s="19">
        <f t="shared" si="2"/>
        <v>0</v>
      </c>
      <c r="L115" s="48"/>
      <c r="M115" s="48"/>
      <c r="N115" s="48"/>
      <c r="O115" s="20"/>
      <c r="P115" s="20"/>
    </row>
    <row r="116" spans="1:16" ht="15.75" customHeight="1">
      <c r="A116" s="20"/>
      <c r="B116" s="21"/>
      <c r="C116" s="21"/>
      <c r="D116" s="21"/>
      <c r="E116" s="21"/>
      <c r="F116" s="21"/>
      <c r="G116" s="21"/>
      <c r="H116" s="21"/>
      <c r="I116" s="19"/>
      <c r="J116" s="22"/>
      <c r="K116" s="19">
        <f t="shared" si="2"/>
        <v>0</v>
      </c>
      <c r="L116" s="48"/>
      <c r="M116" s="48"/>
      <c r="N116" s="48"/>
      <c r="O116" s="20"/>
      <c r="P116" s="20"/>
    </row>
    <row r="117" spans="1:16" ht="15.75" customHeight="1">
      <c r="A117" s="20"/>
      <c r="B117" s="21"/>
      <c r="C117" s="21"/>
      <c r="D117" s="21"/>
      <c r="E117" s="21"/>
      <c r="F117" s="21"/>
      <c r="G117" s="21"/>
      <c r="H117" s="21"/>
      <c r="I117" s="19"/>
      <c r="J117" s="22"/>
      <c r="K117" s="19">
        <f t="shared" si="2"/>
        <v>0</v>
      </c>
      <c r="L117" s="48"/>
      <c r="M117" s="48"/>
      <c r="N117" s="48"/>
      <c r="O117" s="20"/>
      <c r="P117" s="20"/>
    </row>
    <row r="118" spans="1:16" ht="15.75" customHeight="1">
      <c r="A118" s="20"/>
      <c r="B118" s="21"/>
      <c r="C118" s="21"/>
      <c r="D118" s="21"/>
      <c r="E118" s="21"/>
      <c r="F118" s="21"/>
      <c r="G118" s="21"/>
      <c r="H118" s="21"/>
      <c r="I118" s="19"/>
      <c r="J118" s="22"/>
      <c r="K118" s="19">
        <f t="shared" si="2"/>
        <v>0</v>
      </c>
      <c r="L118" s="48"/>
      <c r="M118" s="48"/>
      <c r="N118" s="48"/>
      <c r="O118" s="20"/>
      <c r="P118" s="20"/>
    </row>
    <row r="119" spans="1:16" ht="15.75" customHeight="1">
      <c r="A119" s="20"/>
      <c r="B119" s="21"/>
      <c r="C119" s="21"/>
      <c r="D119" s="21"/>
      <c r="E119" s="21"/>
      <c r="F119" s="21"/>
      <c r="G119" s="21"/>
      <c r="H119" s="21"/>
      <c r="I119" s="19"/>
      <c r="J119" s="22"/>
      <c r="K119" s="19">
        <f t="shared" si="2"/>
        <v>0</v>
      </c>
      <c r="L119" s="48"/>
      <c r="M119" s="48"/>
      <c r="N119" s="48"/>
      <c r="O119" s="20"/>
      <c r="P119" s="20"/>
    </row>
    <row r="120" spans="1:16" ht="15.75" customHeight="1">
      <c r="A120" s="20"/>
      <c r="B120" s="21"/>
      <c r="C120" s="21"/>
      <c r="D120" s="21"/>
      <c r="E120" s="21"/>
      <c r="F120" s="21"/>
      <c r="G120" s="21"/>
      <c r="H120" s="21"/>
      <c r="I120" s="19"/>
      <c r="J120" s="22"/>
      <c r="K120" s="19">
        <f t="shared" si="2"/>
        <v>0</v>
      </c>
      <c r="L120" s="48"/>
      <c r="M120" s="48"/>
      <c r="N120" s="48"/>
      <c r="O120" s="20"/>
      <c r="P120" s="20"/>
    </row>
    <row r="121" spans="1:16" ht="15.75" customHeight="1">
      <c r="A121" s="20"/>
      <c r="B121" s="21"/>
      <c r="C121" s="21"/>
      <c r="D121" s="21"/>
      <c r="E121" s="21"/>
      <c r="F121" s="21"/>
      <c r="G121" s="21"/>
      <c r="H121" s="21"/>
      <c r="I121" s="19"/>
      <c r="J121" s="22"/>
      <c r="K121" s="19">
        <f t="shared" si="2"/>
        <v>0</v>
      </c>
      <c r="L121" s="48"/>
      <c r="M121" s="48"/>
      <c r="N121" s="48"/>
      <c r="O121" s="20"/>
      <c r="P121" s="20"/>
    </row>
    <row r="122" spans="1:16" ht="15.75" customHeight="1">
      <c r="A122" s="20"/>
      <c r="B122" s="21"/>
      <c r="C122" s="21"/>
      <c r="D122" s="21"/>
      <c r="E122" s="21"/>
      <c r="F122" s="21"/>
      <c r="G122" s="21"/>
      <c r="H122" s="21"/>
      <c r="I122" s="19"/>
      <c r="J122" s="22"/>
      <c r="K122" s="19">
        <f t="shared" si="2"/>
        <v>0</v>
      </c>
      <c r="L122" s="48"/>
      <c r="M122" s="48"/>
      <c r="N122" s="48"/>
      <c r="O122" s="20"/>
      <c r="P122" s="20"/>
    </row>
    <row r="123" spans="1:16" ht="15.75" customHeight="1">
      <c r="A123" s="20"/>
      <c r="B123" s="21"/>
      <c r="C123" s="21"/>
      <c r="D123" s="21"/>
      <c r="E123" s="21"/>
      <c r="F123" s="21"/>
      <c r="G123" s="21"/>
      <c r="H123" s="21"/>
      <c r="I123" s="19"/>
      <c r="J123" s="22"/>
      <c r="K123" s="19">
        <f t="shared" si="2"/>
        <v>0</v>
      </c>
      <c r="L123" s="48"/>
      <c r="M123" s="48"/>
      <c r="N123" s="48"/>
      <c r="O123" s="20"/>
      <c r="P123" s="20"/>
    </row>
    <row r="124" spans="1:16" ht="15.75" customHeight="1">
      <c r="A124" s="20"/>
      <c r="B124" s="21"/>
      <c r="C124" s="21"/>
      <c r="D124" s="21"/>
      <c r="E124" s="21"/>
      <c r="F124" s="21"/>
      <c r="G124" s="21"/>
      <c r="H124" s="21"/>
      <c r="I124" s="19"/>
      <c r="J124" s="22"/>
      <c r="K124" s="19">
        <f t="shared" si="2"/>
        <v>0</v>
      </c>
      <c r="L124" s="48"/>
      <c r="M124" s="48"/>
      <c r="N124" s="48"/>
      <c r="O124" s="20"/>
      <c r="P124" s="20"/>
    </row>
    <row r="125" spans="1:16" ht="15.75" customHeight="1">
      <c r="A125" s="20"/>
      <c r="B125" s="21"/>
      <c r="C125" s="21"/>
      <c r="D125" s="21"/>
      <c r="E125" s="21"/>
      <c r="F125" s="21"/>
      <c r="G125" s="21"/>
      <c r="H125" s="21"/>
      <c r="I125" s="19"/>
      <c r="J125" s="22"/>
      <c r="K125" s="19">
        <f t="shared" si="2"/>
        <v>0</v>
      </c>
      <c r="L125" s="48"/>
      <c r="M125" s="48"/>
      <c r="N125" s="48"/>
      <c r="O125" s="20"/>
      <c r="P125" s="20"/>
    </row>
    <row r="126" spans="1:16" ht="15.75" customHeight="1">
      <c r="A126" s="20"/>
      <c r="B126" s="21"/>
      <c r="C126" s="21"/>
      <c r="D126" s="21"/>
      <c r="E126" s="21"/>
      <c r="F126" s="21"/>
      <c r="G126" s="21"/>
      <c r="H126" s="21"/>
      <c r="I126" s="19"/>
      <c r="J126" s="22"/>
      <c r="K126" s="19">
        <f t="shared" si="2"/>
        <v>0</v>
      </c>
      <c r="L126" s="48"/>
      <c r="M126" s="48"/>
      <c r="N126" s="48"/>
      <c r="O126" s="20"/>
      <c r="P126" s="20"/>
    </row>
    <row r="127" spans="1:16" ht="15.75" customHeight="1">
      <c r="A127" s="20"/>
      <c r="B127" s="21"/>
      <c r="C127" s="21"/>
      <c r="D127" s="21"/>
      <c r="E127" s="21"/>
      <c r="F127" s="21"/>
      <c r="G127" s="21"/>
      <c r="H127" s="21"/>
      <c r="I127" s="19"/>
      <c r="J127" s="22"/>
      <c r="K127" s="19">
        <f t="shared" si="2"/>
        <v>0</v>
      </c>
      <c r="L127" s="48"/>
      <c r="M127" s="48"/>
      <c r="N127" s="48"/>
      <c r="O127" s="20"/>
      <c r="P127" s="20"/>
    </row>
    <row r="128" spans="1:16" ht="15.75" customHeight="1">
      <c r="A128" s="20"/>
      <c r="B128" s="21"/>
      <c r="C128" s="21"/>
      <c r="D128" s="21"/>
      <c r="E128" s="21"/>
      <c r="F128" s="21"/>
      <c r="G128" s="21"/>
      <c r="H128" s="21"/>
      <c r="I128" s="19"/>
      <c r="J128" s="22"/>
      <c r="K128" s="19">
        <f t="shared" si="2"/>
        <v>0</v>
      </c>
      <c r="L128" s="48"/>
      <c r="M128" s="48"/>
      <c r="N128" s="48"/>
      <c r="O128" s="20"/>
      <c r="P128" s="20"/>
    </row>
    <row r="129" spans="1:16" ht="15.75" customHeight="1">
      <c r="A129" s="20"/>
      <c r="B129" s="21"/>
      <c r="C129" s="21"/>
      <c r="D129" s="21"/>
      <c r="E129" s="21"/>
      <c r="F129" s="21"/>
      <c r="G129" s="21"/>
      <c r="H129" s="21"/>
      <c r="I129" s="19"/>
      <c r="J129" s="22"/>
      <c r="K129" s="19">
        <f t="shared" si="2"/>
        <v>0</v>
      </c>
      <c r="L129" s="48"/>
      <c r="M129" s="48"/>
      <c r="N129" s="48"/>
      <c r="O129" s="20"/>
      <c r="P129" s="20"/>
    </row>
    <row r="130" spans="1:16" ht="15.75" customHeight="1">
      <c r="A130" s="20"/>
      <c r="B130" s="21"/>
      <c r="C130" s="21"/>
      <c r="D130" s="21"/>
      <c r="E130" s="21"/>
      <c r="F130" s="21"/>
      <c r="G130" s="21"/>
      <c r="H130" s="21"/>
      <c r="I130" s="19"/>
      <c r="J130" s="22"/>
      <c r="K130" s="19">
        <f t="shared" si="2"/>
        <v>0</v>
      </c>
      <c r="L130" s="48"/>
      <c r="M130" s="48"/>
      <c r="N130" s="48"/>
      <c r="O130" s="20"/>
      <c r="P130" s="20"/>
    </row>
    <row r="131" spans="1:16" ht="15.75" customHeight="1">
      <c r="A131" s="20"/>
      <c r="B131" s="21"/>
      <c r="C131" s="21"/>
      <c r="D131" s="21"/>
      <c r="E131" s="21"/>
      <c r="F131" s="21"/>
      <c r="G131" s="21"/>
      <c r="H131" s="21"/>
      <c r="I131" s="19"/>
      <c r="J131" s="22"/>
      <c r="K131" s="19">
        <f t="shared" si="2"/>
        <v>0</v>
      </c>
      <c r="L131" s="48"/>
      <c r="M131" s="48"/>
      <c r="N131" s="48"/>
      <c r="O131" s="20"/>
      <c r="P131" s="20"/>
    </row>
    <row r="132" spans="1:16" ht="15.75" customHeight="1">
      <c r="A132" s="20"/>
      <c r="B132" s="21"/>
      <c r="C132" s="21"/>
      <c r="D132" s="21"/>
      <c r="E132" s="21"/>
      <c r="F132" s="21"/>
      <c r="G132" s="21"/>
      <c r="H132" s="21"/>
      <c r="I132" s="19"/>
      <c r="J132" s="22"/>
      <c r="K132" s="19">
        <f t="shared" si="2"/>
        <v>0</v>
      </c>
      <c r="L132" s="48"/>
      <c r="M132" s="48"/>
      <c r="N132" s="48"/>
      <c r="O132" s="20"/>
      <c r="P132" s="20"/>
    </row>
    <row r="133" spans="1:16" ht="15.75" customHeight="1">
      <c r="A133" s="20"/>
      <c r="B133" s="21"/>
      <c r="C133" s="21"/>
      <c r="D133" s="21"/>
      <c r="E133" s="21"/>
      <c r="F133" s="21"/>
      <c r="G133" s="21"/>
      <c r="H133" s="21"/>
      <c r="I133" s="19"/>
      <c r="J133" s="22"/>
      <c r="K133" s="19">
        <f t="shared" si="2"/>
        <v>0</v>
      </c>
      <c r="L133" s="48"/>
      <c r="M133" s="48"/>
      <c r="N133" s="48"/>
      <c r="O133" s="20"/>
      <c r="P133" s="20"/>
    </row>
    <row r="134" spans="1:16" ht="15.75" customHeight="1">
      <c r="A134" s="20"/>
      <c r="B134" s="21"/>
      <c r="C134" s="21"/>
      <c r="D134" s="21"/>
      <c r="E134" s="21"/>
      <c r="F134" s="21"/>
      <c r="G134" s="21"/>
      <c r="H134" s="21"/>
      <c r="I134" s="19"/>
      <c r="J134" s="22"/>
      <c r="K134" s="19">
        <f t="shared" si="2"/>
        <v>0</v>
      </c>
      <c r="L134" s="48"/>
      <c r="M134" s="48"/>
      <c r="N134" s="48"/>
      <c r="O134" s="20"/>
      <c r="P134" s="20"/>
    </row>
    <row r="135" spans="1:16" ht="15.75" customHeight="1">
      <c r="A135" s="20"/>
      <c r="B135" s="21"/>
      <c r="C135" s="21"/>
      <c r="D135" s="21"/>
      <c r="E135" s="21"/>
      <c r="F135" s="21"/>
      <c r="G135" s="21"/>
      <c r="H135" s="21"/>
      <c r="I135" s="19"/>
      <c r="J135" s="22"/>
      <c r="K135" s="19">
        <f t="shared" si="2"/>
        <v>0</v>
      </c>
      <c r="L135" s="48"/>
      <c r="M135" s="48"/>
      <c r="N135" s="48"/>
      <c r="O135" s="20"/>
      <c r="P135" s="20"/>
    </row>
    <row r="136" spans="1:16" ht="15.75" customHeight="1">
      <c r="A136" s="20"/>
      <c r="B136" s="21"/>
      <c r="C136" s="21"/>
      <c r="D136" s="21"/>
      <c r="E136" s="21"/>
      <c r="F136" s="21"/>
      <c r="G136" s="21"/>
      <c r="H136" s="21"/>
      <c r="I136" s="19"/>
      <c r="J136" s="22"/>
      <c r="K136" s="19">
        <f t="shared" si="2"/>
        <v>0</v>
      </c>
      <c r="L136" s="48"/>
      <c r="M136" s="48"/>
      <c r="N136" s="48"/>
      <c r="O136" s="20"/>
      <c r="P136" s="20"/>
    </row>
    <row r="137" spans="1:16" ht="15.75" customHeight="1">
      <c r="A137" s="20"/>
      <c r="B137" s="21"/>
      <c r="C137" s="21"/>
      <c r="D137" s="21"/>
      <c r="E137" s="21"/>
      <c r="F137" s="21"/>
      <c r="G137" s="21"/>
      <c r="H137" s="21"/>
      <c r="I137" s="19"/>
      <c r="J137" s="22"/>
      <c r="K137" s="19">
        <f t="shared" si="2"/>
        <v>0</v>
      </c>
      <c r="L137" s="48"/>
      <c r="M137" s="48"/>
      <c r="N137" s="48"/>
      <c r="O137" s="20"/>
      <c r="P137" s="20"/>
    </row>
    <row r="138" spans="1:16" ht="15.75" customHeight="1">
      <c r="A138" s="20"/>
      <c r="B138" s="21"/>
      <c r="C138" s="21"/>
      <c r="D138" s="21"/>
      <c r="E138" s="21"/>
      <c r="F138" s="21"/>
      <c r="G138" s="21"/>
      <c r="H138" s="21"/>
      <c r="I138" s="19"/>
      <c r="J138" s="22"/>
      <c r="K138" s="19">
        <f t="shared" si="2"/>
        <v>0</v>
      </c>
      <c r="L138" s="48"/>
      <c r="M138" s="48"/>
      <c r="N138" s="48"/>
      <c r="O138" s="20"/>
      <c r="P138" s="20"/>
    </row>
    <row r="139" spans="1:16" ht="15.75" customHeight="1">
      <c r="A139" s="20"/>
      <c r="B139" s="21"/>
      <c r="C139" s="21"/>
      <c r="D139" s="21"/>
      <c r="E139" s="21"/>
      <c r="F139" s="21"/>
      <c r="G139" s="21"/>
      <c r="H139" s="21"/>
      <c r="I139" s="19"/>
      <c r="J139" s="22"/>
      <c r="K139" s="19">
        <f t="shared" ref="K139:K144" si="3">IF(I139="",0,I139*J139)</f>
        <v>0</v>
      </c>
      <c r="L139" s="48"/>
      <c r="M139" s="48"/>
      <c r="N139" s="48"/>
      <c r="O139" s="20"/>
      <c r="P139" s="20"/>
    </row>
    <row r="140" spans="1:16" ht="15.75" customHeight="1">
      <c r="A140" s="20"/>
      <c r="B140" s="21"/>
      <c r="C140" s="21"/>
      <c r="D140" s="21"/>
      <c r="E140" s="21"/>
      <c r="F140" s="21"/>
      <c r="G140" s="21"/>
      <c r="H140" s="21"/>
      <c r="I140" s="19"/>
      <c r="J140" s="22"/>
      <c r="K140" s="19">
        <f t="shared" si="3"/>
        <v>0</v>
      </c>
      <c r="L140" s="48"/>
      <c r="M140" s="48"/>
      <c r="N140" s="48"/>
      <c r="O140" s="20"/>
      <c r="P140" s="20"/>
    </row>
    <row r="141" spans="1:16" ht="15.75" customHeight="1">
      <c r="A141" s="20"/>
      <c r="B141" s="21"/>
      <c r="C141" s="21"/>
      <c r="D141" s="21"/>
      <c r="E141" s="21"/>
      <c r="F141" s="21"/>
      <c r="G141" s="21"/>
      <c r="H141" s="21"/>
      <c r="I141" s="19"/>
      <c r="J141" s="22"/>
      <c r="K141" s="19">
        <f t="shared" si="3"/>
        <v>0</v>
      </c>
      <c r="L141" s="48"/>
      <c r="M141" s="48"/>
      <c r="N141" s="48"/>
      <c r="O141" s="20"/>
      <c r="P141" s="20"/>
    </row>
    <row r="142" spans="1:16" ht="15.75" customHeight="1">
      <c r="A142" s="20"/>
      <c r="B142" s="21"/>
      <c r="C142" s="21"/>
      <c r="D142" s="21"/>
      <c r="E142" s="21"/>
      <c r="F142" s="21"/>
      <c r="G142" s="21"/>
      <c r="H142" s="21"/>
      <c r="I142" s="19"/>
      <c r="J142" s="22"/>
      <c r="K142" s="19">
        <f t="shared" si="3"/>
        <v>0</v>
      </c>
      <c r="L142" s="48"/>
      <c r="M142" s="48"/>
      <c r="N142" s="48"/>
      <c r="O142" s="20"/>
      <c r="P142" s="20"/>
    </row>
    <row r="143" spans="1:16" ht="15.75" customHeight="1">
      <c r="A143" s="20"/>
      <c r="B143" s="21"/>
      <c r="C143" s="21"/>
      <c r="D143" s="21"/>
      <c r="E143" s="21"/>
      <c r="F143" s="21"/>
      <c r="G143" s="21"/>
      <c r="H143" s="21"/>
      <c r="I143" s="19"/>
      <c r="J143" s="22"/>
      <c r="K143" s="19">
        <f t="shared" si="3"/>
        <v>0</v>
      </c>
      <c r="L143" s="48"/>
      <c r="M143" s="48"/>
      <c r="N143" s="48"/>
      <c r="O143" s="20"/>
      <c r="P143" s="20"/>
    </row>
    <row r="144" spans="1:16" ht="15.75" customHeight="1">
      <c r="A144" s="20"/>
      <c r="B144" s="21"/>
      <c r="C144" s="21"/>
      <c r="D144" s="21"/>
      <c r="E144" s="21"/>
      <c r="F144" s="21"/>
      <c r="G144" s="21"/>
      <c r="H144" s="21"/>
      <c r="I144" s="19"/>
      <c r="J144" s="22"/>
      <c r="K144" s="19">
        <f t="shared" si="3"/>
        <v>0</v>
      </c>
      <c r="L144" s="48"/>
      <c r="M144" s="48"/>
      <c r="N144" s="48"/>
      <c r="O144" s="20"/>
      <c r="P144" s="20"/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4">
    <mergeCell ref="M5:P5"/>
    <mergeCell ref="A5:D5"/>
    <mergeCell ref="A17:P17"/>
    <mergeCell ref="A1:P2"/>
    <mergeCell ref="F15:P15"/>
    <mergeCell ref="A9:P9"/>
    <mergeCell ref="E6:H7"/>
    <mergeCell ref="A4:P4"/>
    <mergeCell ref="I6:L7"/>
    <mergeCell ref="M6:P7"/>
    <mergeCell ref="F14:P14"/>
    <mergeCell ref="A6:D7"/>
    <mergeCell ref="E5:H5"/>
    <mergeCell ref="I5:L5"/>
  </mergeCells>
  <dataValidations count="7">
    <dataValidation type="list" allowBlank="1" sqref="C42:C144">
      <formula1>'⚙ Control Panel'!$E$5:$E$6</formula1>
    </dataValidation>
    <dataValidation type="list" allowBlank="1" sqref="F42:F144">
      <formula1>'⚙ Control Panel'!$C$14:$C$18</formula1>
    </dataValidation>
    <dataValidation type="list" allowBlank="1" sqref="G42:G144">
      <formula1>'⚙ Control Panel'!$E$14:$E$16</formula1>
    </dataValidation>
    <dataValidation type="list" allowBlank="1" sqref="E42:E144">
      <formula1>'⚙ Control Panel'!$A$14:$A$16</formula1>
    </dataValidation>
    <dataValidation type="list" allowBlank="1" sqref="D42:D144">
      <formula1>'⚙ Control Panel'!$G$5:$G$7</formula1>
    </dataValidation>
    <dataValidation type="list" allowBlank="1" sqref="B42:B144">
      <formula1>'⚙ Control Panel'!$C$5:$C$10</formula1>
    </dataValidation>
    <dataValidation type="list" allowBlank="1" sqref="H42:H144">
      <formula1>'⚙ Control Panel'!$G$14:$G$17</formula1>
    </dataValidation>
  </dataValidations>
  <pageMargins left="0.75" right="0.75" top="1" bottom="1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E7D9A"/>
  </sheetPr>
  <dimension ref="A1:Z1010"/>
  <sheetViews>
    <sheetView zoomScale="70" zoomScaleNormal="70" workbookViewId="0">
      <pane ySplit="16" topLeftCell="A53" activePane="bottomLeft" state="frozen"/>
      <selection pane="bottomLeft" activeCell="N55" sqref="N55"/>
    </sheetView>
  </sheetViews>
  <sheetFormatPr defaultColWidth="14.44140625" defaultRowHeight="15" customHeight="1"/>
  <cols>
    <col min="1" max="1" width="22" style="32" customWidth="1"/>
    <col min="2" max="2" width="14" style="32" customWidth="1"/>
    <col min="3" max="3" width="11" style="32" customWidth="1"/>
    <col min="4" max="4" width="10" style="32" customWidth="1"/>
    <col min="5" max="6" width="14" style="32" customWidth="1"/>
    <col min="7" max="7" width="16" style="32" customWidth="1"/>
    <col min="8" max="8" width="18" style="32" customWidth="1"/>
    <col min="9" max="9" width="14" style="32" customWidth="1"/>
    <col min="10" max="10" width="11" style="32" customWidth="1"/>
    <col min="11" max="11" width="16" style="32" customWidth="1"/>
    <col min="12" max="14" width="13" style="32" customWidth="1"/>
    <col min="15" max="15" width="22" style="32" customWidth="1"/>
    <col min="16" max="16" width="13" style="32" customWidth="1"/>
    <col min="17" max="17" width="15.88671875" style="32" customWidth="1"/>
    <col min="18" max="18" width="13" style="32" customWidth="1"/>
    <col min="19" max="22" width="14" style="32" customWidth="1"/>
    <col min="23" max="26" width="8.6640625" style="32" customWidth="1"/>
  </cols>
  <sheetData>
    <row r="1" spans="1:22" ht="21.75" customHeight="1">
      <c r="A1" s="64" t="s">
        <v>325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22" ht="21.75" customHeigh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</row>
    <row r="3" spans="1:22" ht="24" customHeight="1">
      <c r="S3" s="5" t="s">
        <v>47</v>
      </c>
      <c r="T3" s="5" t="s">
        <v>91</v>
      </c>
      <c r="U3" s="5" t="s">
        <v>49</v>
      </c>
      <c r="V3" s="5" t="s">
        <v>50</v>
      </c>
    </row>
    <row r="4" spans="1:22" ht="14.4" customHeight="1">
      <c r="A4" s="57" t="s">
        <v>92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S4" s="6" t="s">
        <v>55</v>
      </c>
      <c r="T4" s="17">
        <v>1500000</v>
      </c>
      <c r="U4" s="17">
        <f>SUMPRODUCT(IFERROR((MONTH(L52:L151)=1)*(YEAR(L52:L151)=2026),0)*I52:I151)</f>
        <v>0</v>
      </c>
      <c r="V4" s="17">
        <f>SUMPRODUCT(IFERROR((MONTH(M52:M151)=1)*(YEAR(M52:M151)=2026),0)*I52:I151)</f>
        <v>0</v>
      </c>
    </row>
    <row r="5" spans="1:22" ht="27.75" customHeight="1">
      <c r="A5" s="53" t="s">
        <v>63</v>
      </c>
      <c r="B5" s="51"/>
      <c r="C5" s="51"/>
      <c r="D5" s="51"/>
      <c r="E5" s="53" t="s">
        <v>52</v>
      </c>
      <c r="F5" s="51"/>
      <c r="G5" s="51"/>
      <c r="H5" s="51"/>
      <c r="I5" s="53" t="s">
        <v>53</v>
      </c>
      <c r="J5" s="51"/>
      <c r="K5" s="51"/>
      <c r="L5" s="51"/>
      <c r="M5" s="53" t="s">
        <v>93</v>
      </c>
      <c r="N5" s="51"/>
      <c r="O5" s="51"/>
      <c r="P5" s="51"/>
      <c r="S5" s="7" t="s">
        <v>56</v>
      </c>
      <c r="T5" s="16">
        <v>2000000</v>
      </c>
      <c r="U5" s="16">
        <f>SUMPRODUCT(IFERROR((MONTH(L52:L151)=2)*(YEAR(L52:L151)=2026),0)*I52:I151)</f>
        <v>0</v>
      </c>
      <c r="V5" s="16">
        <f>SUMPRODUCT(IFERROR((MONTH(M52:M151)=2)*(YEAR(M52:M151)=2026),0)*I52:I151)</f>
        <v>0</v>
      </c>
    </row>
    <row r="6" spans="1:22" ht="21.75" customHeight="1">
      <c r="A6" s="59">
        <f>SUMIF(B52:B151,"&lt;&gt;Delivered",I52:I151)</f>
        <v>50605750</v>
      </c>
      <c r="B6" s="55"/>
      <c r="C6" s="55"/>
      <c r="D6" s="55"/>
      <c r="E6" s="59">
        <f>SUM(K52:K151)</f>
        <v>48716158</v>
      </c>
      <c r="F6" s="55"/>
      <c r="G6" s="55"/>
      <c r="H6" s="55"/>
      <c r="I6" s="59">
        <f ca="1">SUMPRODUCT((B52:B151="Deal Signed")*IFERROR((MONTH(L52:L151)=MONTH(TODAY()))*(YEAR(L52:L151)=YEAR(TODAY())),0)*I52:I151)+SUMPRODUCT((B52:B151="Delivered")*IFERROR((MONTH(L52:L151)=MONTH(TODAY()))*(YEAR(L52:L151)=YEAR(TODAY())),0)*I52:I151)</f>
        <v>0</v>
      </c>
      <c r="J6" s="55"/>
      <c r="K6" s="55"/>
      <c r="L6" s="55"/>
      <c r="M6" s="54">
        <f>SUM(T4:T15)</f>
        <v>36000000</v>
      </c>
      <c r="N6" s="55"/>
      <c r="O6" s="55"/>
      <c r="P6" s="55"/>
      <c r="S6" s="6" t="s">
        <v>57</v>
      </c>
      <c r="T6" s="17">
        <v>4000000</v>
      </c>
      <c r="U6" s="17">
        <f>SUMPRODUCT(IFERROR((MONTH(L52:L151)=3)*(YEAR(L52:L151)=2026),0)*I52:I151)</f>
        <v>0</v>
      </c>
      <c r="V6" s="17">
        <f>SUMPRODUCT(IFERROR((MONTH(M52:M151)=3)*(YEAR(M52:M151)=2026),0)*I52:I151)</f>
        <v>0</v>
      </c>
    </row>
    <row r="7" spans="1:22" ht="21.75" customHeight="1">
      <c r="A7" s="56"/>
      <c r="B7" s="51"/>
      <c r="C7" s="51"/>
      <c r="D7" s="51"/>
      <c r="E7" s="56"/>
      <c r="F7" s="51"/>
      <c r="G7" s="51"/>
      <c r="H7" s="51"/>
      <c r="I7" s="56"/>
      <c r="J7" s="51"/>
      <c r="K7" s="51"/>
      <c r="L7" s="51"/>
      <c r="M7" s="56"/>
      <c r="N7" s="51"/>
      <c r="O7" s="51"/>
      <c r="P7" s="51"/>
      <c r="S7" s="7" t="s">
        <v>58</v>
      </c>
      <c r="T7" s="16">
        <v>4000000</v>
      </c>
      <c r="U7" s="16">
        <f>SUMPRODUCT(IFERROR((MONTH(L52:L151)=4)*(YEAR(L52:L151)=2026),0)*I52:I151)</f>
        <v>0</v>
      </c>
      <c r="V7" s="16">
        <f>SUMPRODUCT(IFERROR((MONTH(M52:M151)=4)*(YEAR(M52:M151)=2026),0)*I52:I151)</f>
        <v>0</v>
      </c>
    </row>
    <row r="8" spans="1:22" ht="14.4" customHeight="1">
      <c r="S8" s="6" t="s">
        <v>59</v>
      </c>
      <c r="T8" s="17">
        <v>3000000</v>
      </c>
      <c r="U8" s="17">
        <f>SUMPRODUCT(IFERROR((MONTH(L52:L151)=5)*(YEAR(L52:L151)=2026),0)*I52:I151)</f>
        <v>0</v>
      </c>
      <c r="V8" s="17">
        <f>SUMPRODUCT(IFERROR((MONTH(M52:M151)=5)*(YEAR(M52:M151)=2026),0)*I52:I151)</f>
        <v>0</v>
      </c>
    </row>
    <row r="9" spans="1:22" ht="14.4" customHeight="1">
      <c r="A9" s="57" t="s">
        <v>94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S9" s="7" t="s">
        <v>61</v>
      </c>
      <c r="T9" s="16">
        <v>3500000</v>
      </c>
      <c r="U9" s="16">
        <f>SUMPRODUCT(IFERROR((MONTH(L52:L151)=6)*(YEAR(L52:L151)=2026),0)*I52:I151)</f>
        <v>0</v>
      </c>
      <c r="V9" s="16">
        <f>SUMPRODUCT(IFERROR((MONTH(M52:M151)=6)*(YEAR(M52:M151)=2026),0)*I52:I151)</f>
        <v>0</v>
      </c>
    </row>
    <row r="10" spans="1:22" ht="14.4" customHeight="1">
      <c r="A10" s="14" t="s">
        <v>2</v>
      </c>
      <c r="B10" s="14" t="s">
        <v>86</v>
      </c>
      <c r="C10" s="14" t="s">
        <v>87</v>
      </c>
      <c r="D10" s="14" t="s">
        <v>83</v>
      </c>
      <c r="F10" s="14" t="s">
        <v>4</v>
      </c>
      <c r="G10" s="14" t="s">
        <v>86</v>
      </c>
      <c r="H10" s="14" t="s">
        <v>87</v>
      </c>
      <c r="I10" s="14" t="s">
        <v>83</v>
      </c>
      <c r="S10" s="6" t="s">
        <v>72</v>
      </c>
      <c r="T10" s="17">
        <v>3000000</v>
      </c>
      <c r="U10" s="17">
        <f>SUMPRODUCT(IFERROR((MONTH(L52:L151)=7)*(YEAR(L52:L151)=2026),0)*I52:I151)</f>
        <v>0</v>
      </c>
      <c r="V10" s="17">
        <f>SUMPRODUCT(IFERROR((MONTH(M52:M151)=7)*(YEAR(M52:M151)=2026),0)*I52:I151)</f>
        <v>0</v>
      </c>
    </row>
    <row r="11" spans="1:22" ht="14.4" customHeight="1">
      <c r="A11" s="15" t="s">
        <v>6</v>
      </c>
      <c r="B11" s="19">
        <f>COUNTIF(B52:B151,"Interest")</f>
        <v>2</v>
      </c>
      <c r="C11" s="19">
        <f>SUMIF(B52:B151,"Interest",I52:I151)</f>
        <v>4383424</v>
      </c>
      <c r="D11" s="37">
        <f>IFERROR(SUMIF(B52:B151,"Interest",I52:I151)/SUM(I52:I151),0)</f>
        <v>8.6619089727945936E-2</v>
      </c>
      <c r="F11" s="15" t="s">
        <v>8</v>
      </c>
      <c r="G11" s="19">
        <f>COUNTIF(D52:D151,"High")</f>
        <v>14</v>
      </c>
      <c r="H11" s="19">
        <f>SUMIF(D52:D151,"High",I52:I151)</f>
        <v>48322326</v>
      </c>
      <c r="I11" s="37">
        <f>IFERROR(SUMIF(D52:D151,"High",I52:I151)/SUM(I52:I151),0)</f>
        <v>0.95487817095883376</v>
      </c>
      <c r="S11" s="7" t="s">
        <v>73</v>
      </c>
      <c r="T11" s="16">
        <v>3000000</v>
      </c>
      <c r="U11" s="16">
        <f>SUMPRODUCT(IFERROR((MONTH(L52:L151)=8)*(YEAR(L52:L151)=2026),0)*I52:I151)</f>
        <v>0</v>
      </c>
      <c r="V11" s="16">
        <f>SUMPRODUCT(IFERROR((MONTH(M52:M151)=8)*(YEAR(M52:M151)=2026),0)*I52:I151)</f>
        <v>0</v>
      </c>
    </row>
    <row r="12" spans="1:22" ht="14.4" customHeight="1">
      <c r="A12" s="15" t="s">
        <v>10</v>
      </c>
      <c r="B12" s="19">
        <f>COUNTIF(B52:B151,"Send PI")</f>
        <v>3</v>
      </c>
      <c r="C12" s="19">
        <f>SUMIF(B52:B151,"Send PI",I52:I151)</f>
        <v>2332018</v>
      </c>
      <c r="D12" s="37">
        <f>IFERROR(SUMIF(B52:B151,"Send PI",I52:I151)/SUM(I52:I151),0)</f>
        <v>4.608207565345835E-2</v>
      </c>
      <c r="F12" s="15" t="s">
        <v>12</v>
      </c>
      <c r="G12" s="19">
        <f>COUNTIF(D52:D151,"Medium")</f>
        <v>1</v>
      </c>
      <c r="H12" s="19">
        <f>SUMIF(D52:D151,"Medium",I52:I151)</f>
        <v>2283424</v>
      </c>
      <c r="I12" s="37">
        <f>IFERROR(SUMIF(D52:D151,"Medium",I52:I151)/SUM(I52:I151),0)</f>
        <v>4.5121829041166274E-2</v>
      </c>
      <c r="S12" s="6" t="s">
        <v>74</v>
      </c>
      <c r="T12" s="17">
        <v>3000000</v>
      </c>
      <c r="U12" s="17">
        <f>SUMPRODUCT(IFERROR((MONTH(L52:L151)=9)*(YEAR(L52:L151)=2026),0)*I52:I151)</f>
        <v>0</v>
      </c>
      <c r="V12" s="17">
        <f>SUMPRODUCT(IFERROR((MONTH(M52:M151)=9)*(YEAR(M52:M151)=2026),0)*I52:I151)</f>
        <v>0</v>
      </c>
    </row>
    <row r="13" spans="1:22" ht="14.4" customHeight="1">
      <c r="A13" s="15" t="s">
        <v>14</v>
      </c>
      <c r="B13" s="19">
        <f>COUNTIF(B52:B151,"Negotiating")</f>
        <v>3</v>
      </c>
      <c r="C13" s="19">
        <f>SUMIF(B52:B151,"Negotiating",I52:I151)</f>
        <v>3082224</v>
      </c>
      <c r="D13" s="37">
        <f>IFERROR(SUMIF(B52:B151,"Negotiating",I52:I151)/SUM(I52:I151),0)</f>
        <v>6.0906596582404174E-2</v>
      </c>
      <c r="F13" s="15" t="s">
        <v>15</v>
      </c>
      <c r="G13" s="19">
        <f>COUNTIF(D52:D151,"Low")</f>
        <v>0</v>
      </c>
      <c r="H13" s="19">
        <f>SUMIF(D52:D151,"Low",I52:I151)</f>
        <v>0</v>
      </c>
      <c r="I13" s="37">
        <f>IFERROR(SUMIF(D52:D151,"Low",I52:I151)/SUM(I52:I151),0)</f>
        <v>0</v>
      </c>
      <c r="S13" s="7" t="s">
        <v>75</v>
      </c>
      <c r="T13" s="16">
        <v>3000000</v>
      </c>
      <c r="U13" s="16">
        <f>SUMPRODUCT(IFERROR((MONTH(L52:L151)=10)*(YEAR(L52:L151)=2026),0)*I52:I151)</f>
        <v>0</v>
      </c>
      <c r="V13" s="16">
        <f>SUMPRODUCT(IFERROR((MONTH(M52:M151)=10)*(YEAR(M52:M151)=2026),0)*I52:I151)</f>
        <v>0</v>
      </c>
    </row>
    <row r="14" spans="1:22" ht="14.4" customHeight="1">
      <c r="A14" s="15" t="s">
        <v>17</v>
      </c>
      <c r="B14" s="19">
        <f>COUNTIF(B52:B151,"Deal Signed")</f>
        <v>7</v>
      </c>
      <c r="C14" s="19">
        <f>SUMIF(B52:B151,"Deal Signed",I52:I151)</f>
        <v>40808084</v>
      </c>
      <c r="D14" s="37">
        <f>IFERROR(SUMIF(B52:B151,"Deal Signed",I52:I151)/SUM(I52:I151),0)</f>
        <v>0.80639223803619153</v>
      </c>
      <c r="F14" s="63" t="s">
        <v>95</v>
      </c>
      <c r="G14" s="51"/>
      <c r="H14" s="51"/>
      <c r="I14" s="51"/>
      <c r="J14" s="51"/>
      <c r="K14" s="51"/>
      <c r="L14" s="51"/>
      <c r="M14" s="51"/>
      <c r="N14" s="51"/>
      <c r="O14" s="51"/>
      <c r="P14" s="51"/>
      <c r="S14" s="6" t="s">
        <v>76</v>
      </c>
      <c r="T14" s="17">
        <v>3000000</v>
      </c>
      <c r="U14" s="17">
        <f>SUMPRODUCT(IFERROR((MONTH(L52:L151)=11)*(YEAR(L52:L151)=2026),0)*I52:I151)</f>
        <v>0</v>
      </c>
      <c r="V14" s="17">
        <f>SUMPRODUCT(IFERROR((MONTH(M52:M151)=11)*(YEAR(M52:M151)=2026),0)*I52:I151)</f>
        <v>0</v>
      </c>
    </row>
    <row r="15" spans="1:22" ht="21.75" customHeight="1">
      <c r="A15" s="15" t="s">
        <v>19</v>
      </c>
      <c r="B15" s="19">
        <f>COUNTIF(B52:B151,"Delivered")</f>
        <v>0</v>
      </c>
      <c r="C15" s="19">
        <f>SUMIF(B52:B151,"Delivered",I52:I151)</f>
        <v>0</v>
      </c>
      <c r="D15" s="37">
        <f>IFERROR(SUMIF(B52:B151,"Delivered",I52:I151)/SUM(I52:I151),0)</f>
        <v>0</v>
      </c>
      <c r="F15" s="61" t="str">
        <f ca="1">"Signed this month: "&amp;TEXT(SUMPRODUCT((B52:B151="Deal Signed")*IFERROR((MONTH(L52:L151)=MONTH(TODAY()))*(YEAR(L52:L151)=YEAR(TODAY())),0)*I52:I151)+SUMPRODUCT((B52:B151="Delivered")*IFERROR((MONTH(L52:L151)=MONTH(TODAY()))*(YEAR(L52:L151)=YEAR(TODAY())),0)*I52:I151),"#,##0")&amp;" THB  |  Target: "&amp;TEXT('⚙ Control Panel'!$A$23,"#,##0")&amp;" THB"</f>
        <v>Signed this month: 0 THB  |  Target: 3,000,000 THB</v>
      </c>
      <c r="G15" s="62"/>
      <c r="H15" s="62"/>
      <c r="I15" s="62"/>
      <c r="J15" s="62"/>
      <c r="K15" s="62"/>
      <c r="L15" s="62"/>
      <c r="M15" s="62"/>
      <c r="N15" s="62"/>
      <c r="O15" s="62"/>
      <c r="P15" s="62"/>
      <c r="S15" s="7" t="s">
        <v>77</v>
      </c>
      <c r="T15" s="16">
        <v>3000000</v>
      </c>
      <c r="U15" s="16">
        <f>SUMPRODUCT(IFERROR((MONTH(L52:L151)=12)*(YEAR(L52:L151)=2026),0)*I52:I151)</f>
        <v>0</v>
      </c>
      <c r="V15" s="16">
        <f>SUMPRODUCT(IFERROR((MONTH(M52:M151)=12)*(YEAR(M52:M151)=2026),0)*I52:I151)</f>
        <v>0</v>
      </c>
    </row>
    <row r="17" spans="1:16" ht="14.4" customHeight="1">
      <c r="A17" s="57" t="s">
        <v>96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</row>
    <row r="21" spans="1:16" ht="15.75" customHeight="1"/>
    <row r="22" spans="1:16" ht="15.75" customHeight="1"/>
    <row r="23" spans="1:16" ht="15.75" customHeight="1"/>
    <row r="24" spans="1:16" ht="15.75" customHeight="1"/>
    <row r="25" spans="1:16" ht="15.75" customHeight="1"/>
    <row r="26" spans="1:16" ht="15.75" customHeight="1"/>
    <row r="27" spans="1:16" ht="15.75" customHeight="1"/>
    <row r="28" spans="1:16" ht="15.75" customHeight="1"/>
    <row r="29" spans="1:16" ht="15.75" customHeight="1"/>
    <row r="30" spans="1:16" ht="15.75" customHeight="1"/>
    <row r="31" spans="1:16" ht="15.75" customHeight="1"/>
    <row r="32" spans="1:16" ht="15.75" customHeight="1"/>
    <row r="33" spans="1:17" ht="15.75" customHeight="1"/>
    <row r="34" spans="1:17" ht="15.75" customHeight="1"/>
    <row r="35" spans="1:17" ht="15.75" customHeight="1"/>
    <row r="36" spans="1:17" ht="15.75" customHeight="1"/>
    <row r="37" spans="1:17" ht="15.75" customHeight="1"/>
    <row r="38" spans="1:17" ht="15.75" customHeight="1"/>
    <row r="39" spans="1:17" ht="15.75" customHeight="1"/>
    <row r="40" spans="1:17" ht="6" customHeight="1"/>
    <row r="41" spans="1:17" ht="31.5" customHeight="1">
      <c r="A41" s="25" t="s">
        <v>97</v>
      </c>
      <c r="B41" s="25" t="s">
        <v>2</v>
      </c>
      <c r="C41" s="25" t="s">
        <v>3</v>
      </c>
      <c r="D41" s="25" t="s">
        <v>4</v>
      </c>
      <c r="E41" s="25" t="s">
        <v>98</v>
      </c>
      <c r="F41" s="25" t="s">
        <v>22</v>
      </c>
      <c r="G41" s="25" t="s">
        <v>23</v>
      </c>
      <c r="H41" s="25" t="s">
        <v>24</v>
      </c>
      <c r="I41" s="25" t="s">
        <v>99</v>
      </c>
      <c r="J41" s="25" t="s">
        <v>100</v>
      </c>
      <c r="K41" s="25" t="s">
        <v>101</v>
      </c>
      <c r="L41" s="25" t="s">
        <v>102</v>
      </c>
      <c r="M41" s="25" t="s">
        <v>103</v>
      </c>
      <c r="N41" s="25" t="s">
        <v>104</v>
      </c>
      <c r="O41" s="25" t="s">
        <v>105</v>
      </c>
      <c r="P41" s="25" t="s">
        <v>106</v>
      </c>
      <c r="Q41" s="25" t="s">
        <v>107</v>
      </c>
    </row>
    <row r="42" spans="1:17" ht="15.75" customHeight="1">
      <c r="A42" s="20" t="s">
        <v>326</v>
      </c>
      <c r="B42" s="21" t="s">
        <v>19</v>
      </c>
      <c r="C42" s="21" t="s">
        <v>11</v>
      </c>
      <c r="D42" s="21"/>
      <c r="E42" s="21" t="s">
        <v>25</v>
      </c>
      <c r="F42" s="21" t="s">
        <v>30</v>
      </c>
      <c r="G42" s="21" t="s">
        <v>31</v>
      </c>
      <c r="H42" s="21" t="s">
        <v>38</v>
      </c>
      <c r="I42" s="19">
        <v>248375</v>
      </c>
      <c r="J42" s="22">
        <v>1</v>
      </c>
      <c r="K42" s="19"/>
      <c r="L42" s="48"/>
      <c r="M42" s="48"/>
      <c r="N42" s="48"/>
      <c r="O42" s="20"/>
      <c r="P42" s="20"/>
      <c r="Q42" t="s">
        <v>327</v>
      </c>
    </row>
    <row r="43" spans="1:17" ht="15.75" customHeight="1">
      <c r="A43" s="20" t="s">
        <v>328</v>
      </c>
      <c r="B43" s="21" t="s">
        <v>19</v>
      </c>
      <c r="C43" s="21" t="s">
        <v>11</v>
      </c>
      <c r="D43" s="21"/>
      <c r="E43" s="21" t="s">
        <v>25</v>
      </c>
      <c r="F43" s="21" t="s">
        <v>30</v>
      </c>
      <c r="G43" s="21" t="s">
        <v>31</v>
      </c>
      <c r="H43" s="21" t="s">
        <v>38</v>
      </c>
      <c r="I43" s="19">
        <v>354000</v>
      </c>
      <c r="J43" s="22">
        <v>1</v>
      </c>
      <c r="K43" s="19"/>
      <c r="L43" s="48"/>
      <c r="M43" s="48"/>
      <c r="N43" s="48"/>
      <c r="O43" s="20"/>
      <c r="P43" s="20"/>
      <c r="Q43" t="s">
        <v>329</v>
      </c>
    </row>
    <row r="44" spans="1:17" ht="15.75" customHeight="1">
      <c r="A44" s="20" t="s">
        <v>330</v>
      </c>
      <c r="B44" s="21" t="s">
        <v>19</v>
      </c>
      <c r="C44" s="21" t="s">
        <v>7</v>
      </c>
      <c r="D44" s="21"/>
      <c r="E44" s="21" t="s">
        <v>33</v>
      </c>
      <c r="F44" s="21" t="s">
        <v>30</v>
      </c>
      <c r="G44" s="21" t="s">
        <v>31</v>
      </c>
      <c r="H44" s="21" t="s">
        <v>38</v>
      </c>
      <c r="I44" s="19">
        <v>136284</v>
      </c>
      <c r="J44" s="22">
        <v>1</v>
      </c>
      <c r="K44" s="19"/>
      <c r="L44" s="48"/>
      <c r="M44" s="48"/>
      <c r="N44" s="48"/>
      <c r="O44" s="20"/>
      <c r="P44" s="20"/>
      <c r="Q44" t="s">
        <v>331</v>
      </c>
    </row>
    <row r="45" spans="1:17" ht="15.75" customHeight="1">
      <c r="A45" s="20" t="s">
        <v>332</v>
      </c>
      <c r="B45" s="21" t="s">
        <v>19</v>
      </c>
      <c r="C45" s="21" t="s">
        <v>11</v>
      </c>
      <c r="D45" s="21"/>
      <c r="E45" s="21" t="s">
        <v>25</v>
      </c>
      <c r="F45" s="21" t="s">
        <v>30</v>
      </c>
      <c r="G45" s="21" t="s">
        <v>31</v>
      </c>
      <c r="H45" s="21" t="s">
        <v>28</v>
      </c>
      <c r="I45" s="19">
        <v>77062</v>
      </c>
      <c r="J45" s="22">
        <v>1</v>
      </c>
      <c r="K45" s="19"/>
      <c r="L45" s="48"/>
      <c r="M45" s="48"/>
      <c r="N45" s="48"/>
      <c r="O45" s="20"/>
      <c r="P45" s="20"/>
      <c r="Q45" t="s">
        <v>333</v>
      </c>
    </row>
    <row r="46" spans="1:17" ht="15.75" customHeight="1">
      <c r="A46" s="20" t="s">
        <v>334</v>
      </c>
      <c r="B46" s="21" t="s">
        <v>19</v>
      </c>
      <c r="C46" s="21" t="s">
        <v>7</v>
      </c>
      <c r="D46" s="21" t="s">
        <v>8</v>
      </c>
      <c r="E46" s="21" t="s">
        <v>25</v>
      </c>
      <c r="F46" s="21" t="s">
        <v>30</v>
      </c>
      <c r="G46" s="21" t="s">
        <v>31</v>
      </c>
      <c r="H46" s="21" t="s">
        <v>36</v>
      </c>
      <c r="I46" s="19">
        <v>248625</v>
      </c>
      <c r="J46" s="22">
        <v>1</v>
      </c>
      <c r="K46" s="19"/>
      <c r="L46" s="48"/>
      <c r="M46" s="48"/>
      <c r="N46" s="48"/>
      <c r="O46" s="20"/>
      <c r="P46" s="20"/>
      <c r="Q46" t="s">
        <v>335</v>
      </c>
    </row>
    <row r="47" spans="1:17" ht="15.75" customHeight="1">
      <c r="A47" s="20" t="s">
        <v>298</v>
      </c>
      <c r="B47" s="21" t="s">
        <v>19</v>
      </c>
      <c r="C47" s="21" t="s">
        <v>7</v>
      </c>
      <c r="D47" s="21" t="s">
        <v>8</v>
      </c>
      <c r="E47" s="21" t="s">
        <v>25</v>
      </c>
      <c r="F47" s="21" t="s">
        <v>30</v>
      </c>
      <c r="G47" s="21" t="s">
        <v>31</v>
      </c>
      <c r="H47" s="21" t="s">
        <v>38</v>
      </c>
      <c r="I47" s="19">
        <v>43920</v>
      </c>
      <c r="J47" s="22">
        <v>1</v>
      </c>
      <c r="K47" s="19"/>
      <c r="L47" s="48"/>
      <c r="M47" s="48"/>
      <c r="N47" s="48"/>
      <c r="O47" s="20"/>
      <c r="P47" s="20"/>
      <c r="Q47" t="s">
        <v>336</v>
      </c>
    </row>
    <row r="48" spans="1:17" ht="15.75" customHeight="1">
      <c r="A48" s="20" t="s">
        <v>332</v>
      </c>
      <c r="B48" s="21" t="s">
        <v>19</v>
      </c>
      <c r="C48" s="21" t="s">
        <v>11</v>
      </c>
      <c r="D48" s="21" t="s">
        <v>8</v>
      </c>
      <c r="E48" s="21" t="s">
        <v>25</v>
      </c>
      <c r="F48" s="21" t="s">
        <v>30</v>
      </c>
      <c r="G48" s="21" t="s">
        <v>31</v>
      </c>
      <c r="H48" s="21" t="s">
        <v>28</v>
      </c>
      <c r="I48" s="19">
        <v>336874</v>
      </c>
      <c r="J48" s="22">
        <v>1</v>
      </c>
      <c r="K48" s="19"/>
      <c r="L48" s="48"/>
      <c r="M48" s="48"/>
      <c r="N48" s="48"/>
      <c r="O48" s="20"/>
      <c r="P48" s="20"/>
      <c r="Q48" t="s">
        <v>337</v>
      </c>
    </row>
    <row r="49" spans="1:17" ht="15.75" customHeight="1">
      <c r="A49" s="20" t="s">
        <v>338</v>
      </c>
      <c r="B49" s="21" t="s">
        <v>19</v>
      </c>
      <c r="C49" s="21" t="s">
        <v>11</v>
      </c>
      <c r="D49" s="21" t="s">
        <v>8</v>
      </c>
      <c r="E49" s="21" t="s">
        <v>29</v>
      </c>
      <c r="F49" s="21" t="s">
        <v>30</v>
      </c>
      <c r="G49" s="21" t="s">
        <v>31</v>
      </c>
      <c r="H49" s="21" t="s">
        <v>28</v>
      </c>
      <c r="I49" s="19">
        <v>62359</v>
      </c>
      <c r="J49" s="22">
        <v>1</v>
      </c>
      <c r="K49" s="19"/>
      <c r="L49" s="48"/>
      <c r="M49" s="48"/>
      <c r="N49" s="48"/>
      <c r="O49" s="20"/>
      <c r="P49" s="20"/>
      <c r="Q49" t="s">
        <v>339</v>
      </c>
    </row>
    <row r="50" spans="1:17" ht="15.75" customHeight="1">
      <c r="A50" s="20" t="s">
        <v>340</v>
      </c>
      <c r="B50" s="21" t="s">
        <v>19</v>
      </c>
      <c r="C50" s="21" t="s">
        <v>7</v>
      </c>
      <c r="D50" s="21" t="s">
        <v>8</v>
      </c>
      <c r="E50" s="21" t="s">
        <v>33</v>
      </c>
      <c r="F50" s="21" t="s">
        <v>30</v>
      </c>
      <c r="G50" s="21" t="s">
        <v>31</v>
      </c>
      <c r="H50" s="21" t="s">
        <v>36</v>
      </c>
      <c r="I50" s="19">
        <v>76860</v>
      </c>
      <c r="J50" s="22">
        <v>1</v>
      </c>
      <c r="K50" s="19"/>
      <c r="L50" s="48"/>
      <c r="M50" s="48"/>
      <c r="N50" s="48"/>
      <c r="O50" s="20"/>
      <c r="P50" s="20"/>
      <c r="Q50" t="s">
        <v>341</v>
      </c>
    </row>
    <row r="51" spans="1:17" ht="15.75" customHeight="1">
      <c r="A51" s="20" t="s">
        <v>342</v>
      </c>
      <c r="B51" s="21" t="s">
        <v>19</v>
      </c>
      <c r="C51" s="21" t="s">
        <v>11</v>
      </c>
      <c r="D51" s="21" t="s">
        <v>8</v>
      </c>
      <c r="E51" s="21" t="s">
        <v>25</v>
      </c>
      <c r="F51" s="21" t="s">
        <v>30</v>
      </c>
      <c r="G51" s="21" t="s">
        <v>31</v>
      </c>
      <c r="H51" s="21" t="s">
        <v>36</v>
      </c>
      <c r="I51" s="19">
        <v>62334</v>
      </c>
      <c r="J51" s="22">
        <v>1</v>
      </c>
      <c r="K51" s="19"/>
      <c r="L51" s="48"/>
      <c r="M51" s="48"/>
      <c r="N51" s="48"/>
      <c r="O51" s="20"/>
      <c r="P51" s="20"/>
      <c r="Q51" t="s">
        <v>343</v>
      </c>
    </row>
    <row r="52" spans="1:17" ht="15.75" customHeight="1">
      <c r="A52" s="20" t="s">
        <v>344</v>
      </c>
      <c r="B52" s="21" t="s">
        <v>10</v>
      </c>
      <c r="C52" s="21" t="s">
        <v>11</v>
      </c>
      <c r="D52" s="21" t="s">
        <v>8</v>
      </c>
      <c r="E52" s="21" t="s">
        <v>25</v>
      </c>
      <c r="F52" s="21" t="s">
        <v>30</v>
      </c>
      <c r="G52" s="21" t="s">
        <v>31</v>
      </c>
      <c r="H52" s="21" t="s">
        <v>38</v>
      </c>
      <c r="I52" s="19">
        <v>1070000</v>
      </c>
      <c r="J52" s="22">
        <v>1</v>
      </c>
      <c r="K52" s="19">
        <f t="shared" ref="K52:K83" si="0">IF(I52="",0,I52*J52)</f>
        <v>1070000</v>
      </c>
      <c r="L52" s="48"/>
      <c r="M52" s="48"/>
      <c r="N52" s="48"/>
      <c r="O52" s="20"/>
      <c r="P52" s="20"/>
      <c r="Q52" t="s">
        <v>345</v>
      </c>
    </row>
    <row r="53" spans="1:17" ht="15.75" customHeight="1">
      <c r="A53" s="20" t="s">
        <v>346</v>
      </c>
      <c r="B53" s="21" t="s">
        <v>10</v>
      </c>
      <c r="C53" s="21" t="s">
        <v>11</v>
      </c>
      <c r="D53" s="21" t="s">
        <v>8</v>
      </c>
      <c r="E53" s="21" t="s">
        <v>25</v>
      </c>
      <c r="F53" s="21" t="s">
        <v>30</v>
      </c>
      <c r="G53" s="21" t="s">
        <v>31</v>
      </c>
      <c r="H53" s="21" t="s">
        <v>38</v>
      </c>
      <c r="I53" s="19">
        <v>1188278</v>
      </c>
      <c r="J53" s="22">
        <v>1</v>
      </c>
      <c r="K53" s="19">
        <f t="shared" si="0"/>
        <v>1188278</v>
      </c>
      <c r="L53" s="48"/>
      <c r="M53" s="48"/>
      <c r="N53" s="48"/>
      <c r="O53" s="20"/>
      <c r="P53" s="20"/>
      <c r="Q53" t="s">
        <v>347</v>
      </c>
    </row>
    <row r="54" spans="1:17" ht="15.75" customHeight="1">
      <c r="A54" s="20" t="s">
        <v>348</v>
      </c>
      <c r="B54" s="21" t="s">
        <v>10</v>
      </c>
      <c r="C54" s="21" t="s">
        <v>7</v>
      </c>
      <c r="D54" s="21" t="s">
        <v>8</v>
      </c>
      <c r="E54" s="21" t="s">
        <v>25</v>
      </c>
      <c r="F54" s="21" t="s">
        <v>30</v>
      </c>
      <c r="G54" s="21" t="s">
        <v>31</v>
      </c>
      <c r="H54" s="21" t="s">
        <v>38</v>
      </c>
      <c r="I54" s="19">
        <v>73740</v>
      </c>
      <c r="J54" s="22">
        <v>1</v>
      </c>
      <c r="K54" s="19">
        <f t="shared" si="0"/>
        <v>73740</v>
      </c>
      <c r="L54" s="48"/>
      <c r="M54" s="48"/>
      <c r="N54" s="48"/>
      <c r="O54" s="20"/>
      <c r="P54" s="20"/>
      <c r="Q54" t="s">
        <v>349</v>
      </c>
    </row>
    <row r="55" spans="1:17" ht="15.75" customHeight="1">
      <c r="A55" s="20" t="s">
        <v>350</v>
      </c>
      <c r="B55" s="21" t="s">
        <v>17</v>
      </c>
      <c r="C55" s="21" t="s">
        <v>7</v>
      </c>
      <c r="D55" s="21" t="s">
        <v>8</v>
      </c>
      <c r="E55" s="21" t="s">
        <v>25</v>
      </c>
      <c r="F55" s="21" t="s">
        <v>30</v>
      </c>
      <c r="G55" s="21" t="s">
        <v>31</v>
      </c>
      <c r="H55" s="21" t="s">
        <v>36</v>
      </c>
      <c r="I55" s="19">
        <v>5700000</v>
      </c>
      <c r="J55" s="22">
        <v>1</v>
      </c>
      <c r="K55" s="19">
        <f t="shared" si="0"/>
        <v>5700000</v>
      </c>
      <c r="L55" s="48"/>
      <c r="M55" s="48"/>
      <c r="N55" s="48"/>
      <c r="O55" s="20"/>
      <c r="P55" s="20"/>
      <c r="Q55" t="s">
        <v>351</v>
      </c>
    </row>
    <row r="56" spans="1:17" ht="15.75" customHeight="1">
      <c r="A56" s="20" t="s">
        <v>352</v>
      </c>
      <c r="B56" s="21" t="s">
        <v>17</v>
      </c>
      <c r="C56" s="21" t="s">
        <v>11</v>
      </c>
      <c r="D56" s="21" t="s">
        <v>8</v>
      </c>
      <c r="E56" s="21" t="s">
        <v>25</v>
      </c>
      <c r="F56" s="21" t="s">
        <v>30</v>
      </c>
      <c r="G56" s="21" t="s">
        <v>31</v>
      </c>
      <c r="H56" s="21" t="s">
        <v>38</v>
      </c>
      <c r="I56" s="19">
        <v>1028000</v>
      </c>
      <c r="J56" s="22">
        <v>1</v>
      </c>
      <c r="K56" s="19">
        <f t="shared" si="0"/>
        <v>1028000</v>
      </c>
      <c r="L56" s="48"/>
      <c r="M56" s="48"/>
      <c r="N56" s="48"/>
      <c r="O56" s="20"/>
      <c r="P56" s="20"/>
      <c r="Q56" t="s">
        <v>353</v>
      </c>
    </row>
    <row r="57" spans="1:17" ht="15.75" customHeight="1">
      <c r="A57" s="20" t="s">
        <v>352</v>
      </c>
      <c r="B57" s="21" t="s">
        <v>17</v>
      </c>
      <c r="C57" s="21" t="s">
        <v>11</v>
      </c>
      <c r="D57" s="21" t="s">
        <v>8</v>
      </c>
      <c r="E57" s="21" t="s">
        <v>25</v>
      </c>
      <c r="F57" s="21" t="s">
        <v>30</v>
      </c>
      <c r="G57" s="21" t="s">
        <v>31</v>
      </c>
      <c r="H57" s="21" t="s">
        <v>38</v>
      </c>
      <c r="I57" s="19">
        <v>1028000</v>
      </c>
      <c r="J57" s="22">
        <v>1</v>
      </c>
      <c r="K57" s="19">
        <f t="shared" si="0"/>
        <v>1028000</v>
      </c>
      <c r="L57" s="48"/>
      <c r="M57" s="48"/>
      <c r="N57" s="48"/>
      <c r="O57" s="20"/>
      <c r="P57" s="20"/>
      <c r="Q57" t="s">
        <v>354</v>
      </c>
    </row>
    <row r="58" spans="1:17" ht="15.75" customHeight="1">
      <c r="A58" s="20" t="s">
        <v>355</v>
      </c>
      <c r="B58" s="21" t="s">
        <v>17</v>
      </c>
      <c r="C58" s="21" t="s">
        <v>11</v>
      </c>
      <c r="D58" s="21" t="s">
        <v>8</v>
      </c>
      <c r="E58" s="21" t="s">
        <v>25</v>
      </c>
      <c r="F58" s="21" t="s">
        <v>30</v>
      </c>
      <c r="G58" s="21" t="s">
        <v>31</v>
      </c>
      <c r="H58" s="21" t="s">
        <v>38</v>
      </c>
      <c r="I58" s="19">
        <v>514430</v>
      </c>
      <c r="J58" s="22">
        <v>1</v>
      </c>
      <c r="K58" s="19">
        <f t="shared" si="0"/>
        <v>514430</v>
      </c>
      <c r="L58" s="48"/>
      <c r="M58" s="48"/>
      <c r="N58" s="48"/>
      <c r="O58" s="20"/>
      <c r="P58" s="20"/>
      <c r="Q58" t="s">
        <v>356</v>
      </c>
    </row>
    <row r="59" spans="1:17" ht="15.75" customHeight="1">
      <c r="A59" s="20" t="s">
        <v>357</v>
      </c>
      <c r="B59" s="21" t="s">
        <v>17</v>
      </c>
      <c r="C59" s="21" t="s">
        <v>11</v>
      </c>
      <c r="D59" s="21" t="s">
        <v>8</v>
      </c>
      <c r="E59" s="21" t="s">
        <v>25</v>
      </c>
      <c r="F59" s="21" t="s">
        <v>30</v>
      </c>
      <c r="G59" s="21" t="s">
        <v>31</v>
      </c>
      <c r="H59" s="21" t="s">
        <v>38</v>
      </c>
      <c r="I59" s="19">
        <v>1268827</v>
      </c>
      <c r="J59" s="22">
        <v>1</v>
      </c>
      <c r="K59" s="19">
        <f t="shared" si="0"/>
        <v>1268827</v>
      </c>
      <c r="L59" s="48"/>
      <c r="M59" s="48"/>
      <c r="N59" s="48"/>
      <c r="O59" s="20"/>
      <c r="P59" s="20"/>
      <c r="Q59" t="s">
        <v>358</v>
      </c>
    </row>
    <row r="60" spans="1:17" ht="15.75" customHeight="1">
      <c r="A60" s="20" t="s">
        <v>357</v>
      </c>
      <c r="B60" s="21" t="s">
        <v>17</v>
      </c>
      <c r="C60" s="21" t="s">
        <v>11</v>
      </c>
      <c r="D60" s="21" t="s">
        <v>8</v>
      </c>
      <c r="E60" s="21" t="s">
        <v>25</v>
      </c>
      <c r="F60" s="21" t="s">
        <v>30</v>
      </c>
      <c r="G60" s="21" t="s">
        <v>31</v>
      </c>
      <c r="H60" s="21" t="s">
        <v>38</v>
      </c>
      <c r="I60" s="19">
        <v>1268827</v>
      </c>
      <c r="J60" s="22">
        <v>1</v>
      </c>
      <c r="K60" s="19">
        <f t="shared" si="0"/>
        <v>1268827</v>
      </c>
      <c r="L60" s="48"/>
      <c r="M60" s="48"/>
      <c r="N60" s="48"/>
      <c r="O60" s="20"/>
      <c r="P60" s="20"/>
      <c r="Q60" t="s">
        <v>359</v>
      </c>
    </row>
    <row r="61" spans="1:17" ht="15.75" customHeight="1">
      <c r="A61" s="20" t="s">
        <v>360</v>
      </c>
      <c r="B61" s="21" t="s">
        <v>14</v>
      </c>
      <c r="C61" s="21" t="s">
        <v>11</v>
      </c>
      <c r="D61" s="21" t="s">
        <v>8</v>
      </c>
      <c r="E61" s="21" t="s">
        <v>25</v>
      </c>
      <c r="F61" s="21" t="s">
        <v>30</v>
      </c>
      <c r="G61" s="21" t="s">
        <v>31</v>
      </c>
      <c r="H61" s="21" t="s">
        <v>38</v>
      </c>
      <c r="I61" s="19">
        <v>380000</v>
      </c>
      <c r="J61" s="22">
        <v>0.8</v>
      </c>
      <c r="K61" s="19">
        <f t="shared" si="0"/>
        <v>304000</v>
      </c>
      <c r="L61" s="48"/>
      <c r="M61" s="48"/>
      <c r="N61" s="48"/>
      <c r="O61" s="20"/>
      <c r="P61" s="20"/>
      <c r="Q61" t="s">
        <v>361</v>
      </c>
    </row>
    <row r="62" spans="1:17" ht="15.75" customHeight="1">
      <c r="A62" s="20" t="s">
        <v>362</v>
      </c>
      <c r="B62" s="21" t="s">
        <v>6</v>
      </c>
      <c r="C62" s="21" t="s">
        <v>7</v>
      </c>
      <c r="D62" s="21" t="s">
        <v>8</v>
      </c>
      <c r="E62" s="21" t="s">
        <v>25</v>
      </c>
      <c r="F62" s="21" t="s">
        <v>30</v>
      </c>
      <c r="G62" s="21" t="s">
        <v>31</v>
      </c>
      <c r="H62" s="21" t="s">
        <v>36</v>
      </c>
      <c r="I62" s="19">
        <v>2100000</v>
      </c>
      <c r="J62" s="22">
        <v>0.7</v>
      </c>
      <c r="K62" s="19">
        <f t="shared" si="0"/>
        <v>1470000</v>
      </c>
      <c r="L62" s="48"/>
      <c r="M62" s="48"/>
      <c r="N62" s="48"/>
      <c r="O62" s="20"/>
      <c r="P62" s="20"/>
      <c r="Q62" t="s">
        <v>363</v>
      </c>
    </row>
    <row r="63" spans="1:17" ht="15.75" customHeight="1">
      <c r="A63" s="20" t="s">
        <v>357</v>
      </c>
      <c r="B63" s="21" t="s">
        <v>14</v>
      </c>
      <c r="C63" s="21" t="s">
        <v>11</v>
      </c>
      <c r="D63" s="21" t="s">
        <v>8</v>
      </c>
      <c r="E63" s="21" t="s">
        <v>33</v>
      </c>
      <c r="F63" s="21" t="s">
        <v>30</v>
      </c>
      <c r="G63" s="21" t="s">
        <v>31</v>
      </c>
      <c r="H63" s="21" t="s">
        <v>38</v>
      </c>
      <c r="I63" s="19">
        <v>1351112</v>
      </c>
      <c r="J63" s="22">
        <v>0.9</v>
      </c>
      <c r="K63" s="19">
        <f t="shared" si="0"/>
        <v>1216000.8</v>
      </c>
      <c r="L63" s="48"/>
      <c r="M63" s="48"/>
      <c r="N63" s="48"/>
      <c r="O63" s="20"/>
      <c r="P63" s="20"/>
      <c r="Q63" t="s">
        <v>364</v>
      </c>
    </row>
    <row r="64" spans="1:17" ht="15.75" customHeight="1">
      <c r="A64" s="20" t="s">
        <v>357</v>
      </c>
      <c r="B64" s="21" t="s">
        <v>14</v>
      </c>
      <c r="C64" s="21" t="s">
        <v>11</v>
      </c>
      <c r="D64" s="21" t="s">
        <v>8</v>
      </c>
      <c r="E64" s="21" t="s">
        <v>33</v>
      </c>
      <c r="F64" s="21" t="s">
        <v>30</v>
      </c>
      <c r="G64" s="21" t="s">
        <v>31</v>
      </c>
      <c r="H64" s="21" t="s">
        <v>38</v>
      </c>
      <c r="I64" s="19">
        <v>1351112</v>
      </c>
      <c r="J64" s="22">
        <v>0.9</v>
      </c>
      <c r="K64" s="19">
        <f t="shared" si="0"/>
        <v>1216000.8</v>
      </c>
      <c r="L64" s="48"/>
      <c r="M64" s="48"/>
      <c r="N64" s="48"/>
      <c r="O64" s="20"/>
      <c r="P64" s="20"/>
      <c r="Q64" t="s">
        <v>365</v>
      </c>
    </row>
    <row r="65" spans="1:17" ht="15.75" customHeight="1">
      <c r="A65" s="20" t="s">
        <v>366</v>
      </c>
      <c r="B65" s="21" t="s">
        <v>6</v>
      </c>
      <c r="C65" s="21" t="s">
        <v>11</v>
      </c>
      <c r="D65" s="21" t="s">
        <v>12</v>
      </c>
      <c r="E65" s="21" t="s">
        <v>33</v>
      </c>
      <c r="F65" s="21" t="s">
        <v>34</v>
      </c>
      <c r="G65" s="21" t="s">
        <v>31</v>
      </c>
      <c r="H65" s="21" t="s">
        <v>28</v>
      </c>
      <c r="I65" s="19">
        <v>2283424</v>
      </c>
      <c r="J65" s="22">
        <v>0.6</v>
      </c>
      <c r="K65" s="19">
        <f t="shared" si="0"/>
        <v>1370054.4</v>
      </c>
      <c r="L65" s="48"/>
      <c r="M65" s="48"/>
      <c r="N65" s="48"/>
      <c r="O65" s="20"/>
      <c r="P65" s="20"/>
      <c r="Q65" t="s">
        <v>367</v>
      </c>
    </row>
    <row r="66" spans="1:17" ht="15.75" customHeight="1">
      <c r="A66" s="20" t="s">
        <v>368</v>
      </c>
      <c r="B66" s="21" t="s">
        <v>17</v>
      </c>
      <c r="C66" s="21" t="s">
        <v>11</v>
      </c>
      <c r="D66" s="21" t="s">
        <v>8</v>
      </c>
      <c r="E66" s="21" t="s">
        <v>33</v>
      </c>
      <c r="F66" s="21" t="s">
        <v>30</v>
      </c>
      <c r="G66" s="21" t="s">
        <v>31</v>
      </c>
      <c r="H66" s="21" t="s">
        <v>38</v>
      </c>
      <c r="I66" s="19">
        <v>30000000</v>
      </c>
      <c r="J66" s="22">
        <v>1</v>
      </c>
      <c r="K66" s="19">
        <f t="shared" si="0"/>
        <v>30000000</v>
      </c>
      <c r="L66" s="48"/>
      <c r="M66" s="48"/>
      <c r="N66" s="48"/>
      <c r="O66" s="20"/>
      <c r="P66" s="20"/>
      <c r="Q66" t="s">
        <v>369</v>
      </c>
    </row>
    <row r="67" spans="1:17" ht="15.75" customHeight="1">
      <c r="A67" s="20"/>
      <c r="B67" s="21"/>
      <c r="C67" s="21"/>
      <c r="D67" s="21"/>
      <c r="E67" s="21"/>
      <c r="F67" s="21"/>
      <c r="G67" s="21"/>
      <c r="H67" s="21"/>
      <c r="I67" s="19"/>
      <c r="J67" s="22"/>
      <c r="K67" s="19">
        <f t="shared" si="0"/>
        <v>0</v>
      </c>
      <c r="L67" s="48"/>
      <c r="M67" s="48"/>
      <c r="N67" s="48"/>
      <c r="O67" s="20"/>
      <c r="P67" s="20"/>
    </row>
    <row r="68" spans="1:17" ht="15.75" customHeight="1">
      <c r="A68" s="20"/>
      <c r="B68" s="21"/>
      <c r="C68" s="21"/>
      <c r="D68" s="21"/>
      <c r="E68" s="21"/>
      <c r="F68" s="21"/>
      <c r="G68" s="21"/>
      <c r="H68" s="21"/>
      <c r="I68" s="19"/>
      <c r="J68" s="22"/>
      <c r="K68" s="19">
        <f t="shared" si="0"/>
        <v>0</v>
      </c>
      <c r="L68" s="48"/>
      <c r="M68" s="48"/>
      <c r="N68" s="48"/>
      <c r="O68" s="20"/>
      <c r="P68" s="20"/>
    </row>
    <row r="69" spans="1:17" ht="15.75" customHeight="1">
      <c r="A69" s="20"/>
      <c r="B69" s="21"/>
      <c r="C69" s="21"/>
      <c r="D69" s="21"/>
      <c r="E69" s="21"/>
      <c r="F69" s="21"/>
      <c r="G69" s="21"/>
      <c r="H69" s="21"/>
      <c r="I69" s="19"/>
      <c r="J69" s="22"/>
      <c r="K69" s="19">
        <f t="shared" si="0"/>
        <v>0</v>
      </c>
      <c r="L69" s="48"/>
      <c r="M69" s="48"/>
      <c r="N69" s="48"/>
      <c r="O69" s="20"/>
      <c r="P69" s="20"/>
    </row>
    <row r="70" spans="1:17" ht="15.75" customHeight="1">
      <c r="A70" s="20"/>
      <c r="B70" s="21"/>
      <c r="C70" s="21"/>
      <c r="D70" s="21"/>
      <c r="E70" s="21"/>
      <c r="F70" s="21"/>
      <c r="G70" s="21"/>
      <c r="H70" s="21"/>
      <c r="I70" s="19"/>
      <c r="J70" s="22"/>
      <c r="K70" s="19">
        <f t="shared" si="0"/>
        <v>0</v>
      </c>
      <c r="L70" s="48"/>
      <c r="M70" s="48"/>
      <c r="N70" s="48"/>
      <c r="O70" s="20"/>
      <c r="P70" s="20"/>
    </row>
    <row r="71" spans="1:17" ht="15.75" customHeight="1">
      <c r="A71" s="20"/>
      <c r="B71" s="21"/>
      <c r="C71" s="21"/>
      <c r="D71" s="21"/>
      <c r="E71" s="21"/>
      <c r="F71" s="21"/>
      <c r="G71" s="21"/>
      <c r="H71" s="21"/>
      <c r="I71" s="19"/>
      <c r="J71" s="22"/>
      <c r="K71" s="19">
        <f t="shared" si="0"/>
        <v>0</v>
      </c>
      <c r="L71" s="48"/>
      <c r="M71" s="48"/>
      <c r="N71" s="48"/>
      <c r="O71" s="20"/>
      <c r="P71" s="20"/>
    </row>
    <row r="72" spans="1:17" ht="15.75" customHeight="1">
      <c r="A72" s="20"/>
      <c r="B72" s="21"/>
      <c r="C72" s="21"/>
      <c r="D72" s="21"/>
      <c r="E72" s="21"/>
      <c r="F72" s="21"/>
      <c r="G72" s="21"/>
      <c r="H72" s="21"/>
      <c r="I72" s="19"/>
      <c r="J72" s="22"/>
      <c r="K72" s="19">
        <f t="shared" si="0"/>
        <v>0</v>
      </c>
      <c r="L72" s="48"/>
      <c r="M72" s="48"/>
      <c r="N72" s="48"/>
      <c r="O72" s="20"/>
      <c r="P72" s="20"/>
    </row>
    <row r="73" spans="1:17" ht="15.75" customHeight="1">
      <c r="A73" s="20"/>
      <c r="B73" s="21"/>
      <c r="C73" s="21"/>
      <c r="D73" s="21"/>
      <c r="E73" s="21"/>
      <c r="F73" s="21"/>
      <c r="G73" s="21"/>
      <c r="H73" s="21"/>
      <c r="I73" s="19"/>
      <c r="J73" s="22"/>
      <c r="K73" s="19">
        <f t="shared" si="0"/>
        <v>0</v>
      </c>
      <c r="L73" s="48"/>
      <c r="M73" s="48"/>
      <c r="N73" s="48"/>
      <c r="O73" s="20"/>
      <c r="P73" s="20"/>
    </row>
    <row r="74" spans="1:17" ht="15.75" customHeight="1">
      <c r="A74" s="20"/>
      <c r="B74" s="21"/>
      <c r="C74" s="21"/>
      <c r="D74" s="21"/>
      <c r="E74" s="21"/>
      <c r="F74" s="21"/>
      <c r="G74" s="21"/>
      <c r="H74" s="21"/>
      <c r="I74" s="19"/>
      <c r="J74" s="22"/>
      <c r="K74" s="19">
        <f t="shared" si="0"/>
        <v>0</v>
      </c>
      <c r="L74" s="48"/>
      <c r="M74" s="48"/>
      <c r="N74" s="48"/>
      <c r="O74" s="20"/>
      <c r="P74" s="20"/>
    </row>
    <row r="75" spans="1:17" ht="15.75" customHeight="1">
      <c r="A75" s="20"/>
      <c r="B75" s="21"/>
      <c r="C75" s="21"/>
      <c r="D75" s="21"/>
      <c r="E75" s="21"/>
      <c r="F75" s="21"/>
      <c r="G75" s="21"/>
      <c r="H75" s="21"/>
      <c r="I75" s="19"/>
      <c r="J75" s="22"/>
      <c r="K75" s="19">
        <f t="shared" si="0"/>
        <v>0</v>
      </c>
      <c r="L75" s="48"/>
      <c r="M75" s="48"/>
      <c r="N75" s="48"/>
      <c r="O75" s="20"/>
      <c r="P75" s="20"/>
    </row>
    <row r="76" spans="1:17" ht="15.75" customHeight="1">
      <c r="A76" s="20"/>
      <c r="B76" s="21"/>
      <c r="C76" s="21"/>
      <c r="D76" s="21"/>
      <c r="E76" s="21"/>
      <c r="F76" s="21"/>
      <c r="G76" s="21"/>
      <c r="H76" s="21"/>
      <c r="I76" s="19"/>
      <c r="J76" s="22"/>
      <c r="K76" s="19">
        <f t="shared" si="0"/>
        <v>0</v>
      </c>
      <c r="L76" s="48"/>
      <c r="M76" s="48"/>
      <c r="N76" s="48"/>
      <c r="O76" s="20"/>
      <c r="P76" s="20"/>
    </row>
    <row r="77" spans="1:17" ht="15.75" customHeight="1">
      <c r="A77" s="20"/>
      <c r="B77" s="21"/>
      <c r="C77" s="21"/>
      <c r="D77" s="21"/>
      <c r="E77" s="21"/>
      <c r="F77" s="21"/>
      <c r="G77" s="21"/>
      <c r="H77" s="21"/>
      <c r="I77" s="19"/>
      <c r="J77" s="22"/>
      <c r="K77" s="19">
        <f t="shared" si="0"/>
        <v>0</v>
      </c>
      <c r="L77" s="48"/>
      <c r="M77" s="48"/>
      <c r="N77" s="48"/>
      <c r="O77" s="20"/>
      <c r="P77" s="20"/>
    </row>
    <row r="78" spans="1:17" ht="15.75" customHeight="1">
      <c r="A78" s="20"/>
      <c r="B78" s="21"/>
      <c r="C78" s="21"/>
      <c r="D78" s="21"/>
      <c r="E78" s="21"/>
      <c r="F78" s="21"/>
      <c r="G78" s="21"/>
      <c r="H78" s="21"/>
      <c r="I78" s="19"/>
      <c r="J78" s="22"/>
      <c r="K78" s="19">
        <f t="shared" si="0"/>
        <v>0</v>
      </c>
      <c r="L78" s="48"/>
      <c r="M78" s="48"/>
      <c r="N78" s="48"/>
      <c r="O78" s="20"/>
      <c r="P78" s="20"/>
    </row>
    <row r="79" spans="1:17" ht="15.75" customHeight="1">
      <c r="A79" s="20"/>
      <c r="B79" s="21"/>
      <c r="C79" s="21"/>
      <c r="D79" s="21"/>
      <c r="E79" s="21"/>
      <c r="F79" s="21"/>
      <c r="G79" s="21"/>
      <c r="H79" s="21"/>
      <c r="I79" s="19"/>
      <c r="J79" s="22"/>
      <c r="K79" s="19">
        <f t="shared" si="0"/>
        <v>0</v>
      </c>
      <c r="L79" s="48"/>
      <c r="M79" s="48"/>
      <c r="N79" s="48"/>
      <c r="O79" s="20"/>
      <c r="P79" s="20"/>
    </row>
    <row r="80" spans="1:17" ht="15.75" customHeight="1">
      <c r="A80" s="20"/>
      <c r="B80" s="21"/>
      <c r="C80" s="21"/>
      <c r="D80" s="21"/>
      <c r="E80" s="21"/>
      <c r="F80" s="21"/>
      <c r="G80" s="21"/>
      <c r="H80" s="21"/>
      <c r="I80" s="19"/>
      <c r="J80" s="22"/>
      <c r="K80" s="19">
        <f t="shared" si="0"/>
        <v>0</v>
      </c>
      <c r="L80" s="48"/>
      <c r="M80" s="48"/>
      <c r="N80" s="48"/>
      <c r="O80" s="20"/>
      <c r="P80" s="20"/>
    </row>
    <row r="81" spans="1:16" ht="15.75" customHeight="1">
      <c r="A81" s="20"/>
      <c r="B81" s="21"/>
      <c r="C81" s="21"/>
      <c r="D81" s="21"/>
      <c r="E81" s="21"/>
      <c r="F81" s="21"/>
      <c r="G81" s="21"/>
      <c r="H81" s="21"/>
      <c r="I81" s="19"/>
      <c r="J81" s="22"/>
      <c r="K81" s="19">
        <f t="shared" si="0"/>
        <v>0</v>
      </c>
      <c r="L81" s="48"/>
      <c r="M81" s="48"/>
      <c r="N81" s="48"/>
      <c r="O81" s="20"/>
      <c r="P81" s="20"/>
    </row>
    <row r="82" spans="1:16" ht="15.75" customHeight="1">
      <c r="A82" s="20"/>
      <c r="B82" s="21"/>
      <c r="C82" s="21"/>
      <c r="D82" s="21"/>
      <c r="E82" s="21"/>
      <c r="F82" s="21"/>
      <c r="G82" s="21"/>
      <c r="H82" s="21"/>
      <c r="I82" s="19"/>
      <c r="J82" s="22"/>
      <c r="K82" s="19">
        <f t="shared" si="0"/>
        <v>0</v>
      </c>
      <c r="L82" s="48"/>
      <c r="M82" s="48"/>
      <c r="N82" s="48"/>
      <c r="O82" s="20"/>
      <c r="P82" s="20"/>
    </row>
    <row r="83" spans="1:16" ht="15.75" customHeight="1">
      <c r="A83" s="20"/>
      <c r="B83" s="21"/>
      <c r="C83" s="21"/>
      <c r="D83" s="21"/>
      <c r="E83" s="21"/>
      <c r="F83" s="21"/>
      <c r="G83" s="21"/>
      <c r="H83" s="21"/>
      <c r="I83" s="19"/>
      <c r="J83" s="22"/>
      <c r="K83" s="19">
        <f t="shared" si="0"/>
        <v>0</v>
      </c>
      <c r="L83" s="48"/>
      <c r="M83" s="48"/>
      <c r="N83" s="48"/>
      <c r="O83" s="20"/>
      <c r="P83" s="20"/>
    </row>
    <row r="84" spans="1:16" ht="15.75" customHeight="1">
      <c r="A84" s="20"/>
      <c r="B84" s="21"/>
      <c r="C84" s="21"/>
      <c r="D84" s="21"/>
      <c r="E84" s="21"/>
      <c r="F84" s="21"/>
      <c r="G84" s="21"/>
      <c r="H84" s="21"/>
      <c r="I84" s="19"/>
      <c r="J84" s="22"/>
      <c r="K84" s="19">
        <f t="shared" ref="K84:K115" si="1">IF(I84="",0,I84*J84)</f>
        <v>0</v>
      </c>
      <c r="L84" s="48"/>
      <c r="M84" s="48"/>
      <c r="N84" s="48"/>
      <c r="O84" s="20"/>
      <c r="P84" s="20"/>
    </row>
    <row r="85" spans="1:16" ht="15.75" customHeight="1">
      <c r="A85" s="20"/>
      <c r="B85" s="21"/>
      <c r="C85" s="21"/>
      <c r="D85" s="21"/>
      <c r="E85" s="21"/>
      <c r="F85" s="21"/>
      <c r="G85" s="21"/>
      <c r="H85" s="21"/>
      <c r="I85" s="19"/>
      <c r="J85" s="22"/>
      <c r="K85" s="19">
        <f t="shared" si="1"/>
        <v>0</v>
      </c>
      <c r="L85" s="48"/>
      <c r="M85" s="48"/>
      <c r="N85" s="48"/>
      <c r="O85" s="20"/>
      <c r="P85" s="20"/>
    </row>
    <row r="86" spans="1:16" ht="15.75" customHeight="1">
      <c r="A86" s="20"/>
      <c r="B86" s="21"/>
      <c r="C86" s="21"/>
      <c r="D86" s="21"/>
      <c r="E86" s="21"/>
      <c r="F86" s="21"/>
      <c r="G86" s="21"/>
      <c r="H86" s="21"/>
      <c r="I86" s="19"/>
      <c r="J86" s="22"/>
      <c r="K86" s="19">
        <f t="shared" si="1"/>
        <v>0</v>
      </c>
      <c r="L86" s="48"/>
      <c r="M86" s="48"/>
      <c r="N86" s="48"/>
      <c r="O86" s="20"/>
      <c r="P86" s="20"/>
    </row>
    <row r="87" spans="1:16" ht="15.75" customHeight="1">
      <c r="A87" s="20"/>
      <c r="B87" s="21"/>
      <c r="C87" s="21"/>
      <c r="D87" s="21"/>
      <c r="E87" s="21"/>
      <c r="F87" s="21"/>
      <c r="G87" s="21"/>
      <c r="H87" s="21"/>
      <c r="I87" s="19"/>
      <c r="J87" s="22"/>
      <c r="K87" s="19">
        <f t="shared" si="1"/>
        <v>0</v>
      </c>
      <c r="L87" s="48"/>
      <c r="M87" s="48"/>
      <c r="N87" s="48"/>
      <c r="O87" s="20"/>
      <c r="P87" s="20"/>
    </row>
    <row r="88" spans="1:16" ht="15.75" customHeight="1">
      <c r="A88" s="20"/>
      <c r="B88" s="21"/>
      <c r="C88" s="21"/>
      <c r="D88" s="21"/>
      <c r="E88" s="21"/>
      <c r="F88" s="21"/>
      <c r="G88" s="21"/>
      <c r="H88" s="21"/>
      <c r="I88" s="19"/>
      <c r="J88" s="22"/>
      <c r="K88" s="19">
        <f t="shared" si="1"/>
        <v>0</v>
      </c>
      <c r="L88" s="48"/>
      <c r="M88" s="48"/>
      <c r="N88" s="48"/>
      <c r="O88" s="20"/>
      <c r="P88" s="20"/>
    </row>
    <row r="89" spans="1:16" ht="15.75" customHeight="1">
      <c r="A89" s="20"/>
      <c r="B89" s="21"/>
      <c r="C89" s="21"/>
      <c r="D89" s="21"/>
      <c r="E89" s="21"/>
      <c r="F89" s="21"/>
      <c r="G89" s="21"/>
      <c r="H89" s="21"/>
      <c r="I89" s="19"/>
      <c r="J89" s="22"/>
      <c r="K89" s="19">
        <f t="shared" si="1"/>
        <v>0</v>
      </c>
      <c r="L89" s="48"/>
      <c r="M89" s="48"/>
      <c r="N89" s="48"/>
      <c r="O89" s="20"/>
      <c r="P89" s="20"/>
    </row>
    <row r="90" spans="1:16" ht="15.75" customHeight="1">
      <c r="A90" s="20"/>
      <c r="B90" s="21"/>
      <c r="C90" s="21"/>
      <c r="D90" s="21"/>
      <c r="E90" s="21"/>
      <c r="F90" s="21"/>
      <c r="G90" s="21"/>
      <c r="H90" s="21"/>
      <c r="I90" s="19"/>
      <c r="J90" s="22"/>
      <c r="K90" s="19">
        <f t="shared" si="1"/>
        <v>0</v>
      </c>
      <c r="L90" s="48"/>
      <c r="M90" s="48"/>
      <c r="N90" s="48"/>
      <c r="O90" s="20"/>
      <c r="P90" s="20"/>
    </row>
    <row r="91" spans="1:16" ht="15.75" customHeight="1">
      <c r="A91" s="20"/>
      <c r="B91" s="21"/>
      <c r="C91" s="21"/>
      <c r="D91" s="21"/>
      <c r="E91" s="21"/>
      <c r="F91" s="21"/>
      <c r="G91" s="21"/>
      <c r="H91" s="21"/>
      <c r="I91" s="19"/>
      <c r="J91" s="22"/>
      <c r="K91" s="19">
        <f t="shared" si="1"/>
        <v>0</v>
      </c>
      <c r="L91" s="48"/>
      <c r="M91" s="48"/>
      <c r="N91" s="48"/>
      <c r="O91" s="20"/>
      <c r="P91" s="20"/>
    </row>
    <row r="92" spans="1:16" ht="15.75" customHeight="1">
      <c r="A92" s="20"/>
      <c r="B92" s="21"/>
      <c r="C92" s="21"/>
      <c r="D92" s="21"/>
      <c r="E92" s="21"/>
      <c r="F92" s="21"/>
      <c r="G92" s="21"/>
      <c r="H92" s="21"/>
      <c r="I92" s="19"/>
      <c r="J92" s="22"/>
      <c r="K92" s="19">
        <f t="shared" si="1"/>
        <v>0</v>
      </c>
      <c r="L92" s="48"/>
      <c r="M92" s="48"/>
      <c r="N92" s="48"/>
      <c r="O92" s="20"/>
      <c r="P92" s="20"/>
    </row>
    <row r="93" spans="1:16" ht="15.75" customHeight="1">
      <c r="A93" s="20"/>
      <c r="B93" s="21"/>
      <c r="C93" s="21"/>
      <c r="D93" s="21"/>
      <c r="E93" s="21"/>
      <c r="F93" s="21"/>
      <c r="G93" s="21"/>
      <c r="H93" s="21"/>
      <c r="I93" s="19"/>
      <c r="J93" s="22"/>
      <c r="K93" s="19">
        <f t="shared" si="1"/>
        <v>0</v>
      </c>
      <c r="L93" s="48"/>
      <c r="M93" s="48"/>
      <c r="N93" s="48"/>
      <c r="O93" s="20"/>
      <c r="P93" s="20"/>
    </row>
    <row r="94" spans="1:16" ht="15.75" customHeight="1">
      <c r="A94" s="20"/>
      <c r="B94" s="21"/>
      <c r="C94" s="21"/>
      <c r="D94" s="21"/>
      <c r="E94" s="21"/>
      <c r="F94" s="21"/>
      <c r="G94" s="21"/>
      <c r="H94" s="21"/>
      <c r="I94" s="19"/>
      <c r="J94" s="22"/>
      <c r="K94" s="19">
        <f t="shared" si="1"/>
        <v>0</v>
      </c>
      <c r="L94" s="48"/>
      <c r="M94" s="48"/>
      <c r="N94" s="48"/>
      <c r="O94" s="20"/>
      <c r="P94" s="20"/>
    </row>
    <row r="95" spans="1:16" ht="15.75" customHeight="1">
      <c r="A95" s="20"/>
      <c r="B95" s="21"/>
      <c r="C95" s="21"/>
      <c r="D95" s="21"/>
      <c r="E95" s="21"/>
      <c r="F95" s="21"/>
      <c r="G95" s="21"/>
      <c r="H95" s="21"/>
      <c r="I95" s="19"/>
      <c r="J95" s="22"/>
      <c r="K95" s="19">
        <f t="shared" si="1"/>
        <v>0</v>
      </c>
      <c r="L95" s="48"/>
      <c r="M95" s="48"/>
      <c r="N95" s="48"/>
      <c r="O95" s="20"/>
      <c r="P95" s="20"/>
    </row>
    <row r="96" spans="1:16" ht="15.75" customHeight="1">
      <c r="A96" s="20"/>
      <c r="B96" s="21"/>
      <c r="C96" s="21"/>
      <c r="D96" s="21"/>
      <c r="E96" s="21"/>
      <c r="F96" s="21"/>
      <c r="G96" s="21"/>
      <c r="H96" s="21"/>
      <c r="I96" s="19"/>
      <c r="J96" s="22"/>
      <c r="K96" s="19">
        <f t="shared" si="1"/>
        <v>0</v>
      </c>
      <c r="L96" s="48"/>
      <c r="M96" s="48"/>
      <c r="N96" s="48"/>
      <c r="O96" s="20"/>
      <c r="P96" s="20"/>
    </row>
    <row r="97" spans="1:16" ht="15.75" customHeight="1">
      <c r="A97" s="20"/>
      <c r="B97" s="21"/>
      <c r="C97" s="21"/>
      <c r="D97" s="21"/>
      <c r="E97" s="21"/>
      <c r="F97" s="21"/>
      <c r="G97" s="21"/>
      <c r="H97" s="21"/>
      <c r="I97" s="19"/>
      <c r="J97" s="22"/>
      <c r="K97" s="19">
        <f t="shared" si="1"/>
        <v>0</v>
      </c>
      <c r="L97" s="48"/>
      <c r="M97" s="48"/>
      <c r="N97" s="48"/>
      <c r="O97" s="20"/>
      <c r="P97" s="20"/>
    </row>
    <row r="98" spans="1:16" ht="15.75" customHeight="1">
      <c r="A98" s="20"/>
      <c r="B98" s="21"/>
      <c r="C98" s="21"/>
      <c r="D98" s="21"/>
      <c r="E98" s="21"/>
      <c r="F98" s="21"/>
      <c r="G98" s="21"/>
      <c r="H98" s="21"/>
      <c r="I98" s="19"/>
      <c r="J98" s="22"/>
      <c r="K98" s="19">
        <f t="shared" si="1"/>
        <v>0</v>
      </c>
      <c r="L98" s="48"/>
      <c r="M98" s="48"/>
      <c r="N98" s="48"/>
      <c r="O98" s="20"/>
      <c r="P98" s="20"/>
    </row>
    <row r="99" spans="1:16" ht="15.75" customHeight="1">
      <c r="A99" s="20"/>
      <c r="B99" s="21"/>
      <c r="C99" s="21"/>
      <c r="D99" s="21"/>
      <c r="E99" s="21"/>
      <c r="F99" s="21"/>
      <c r="G99" s="21"/>
      <c r="H99" s="21"/>
      <c r="I99" s="19"/>
      <c r="J99" s="22"/>
      <c r="K99" s="19">
        <f t="shared" si="1"/>
        <v>0</v>
      </c>
      <c r="L99" s="48"/>
      <c r="M99" s="48"/>
      <c r="N99" s="48"/>
      <c r="O99" s="20"/>
      <c r="P99" s="20"/>
    </row>
    <row r="100" spans="1:16" ht="15.75" customHeight="1">
      <c r="A100" s="20"/>
      <c r="B100" s="21"/>
      <c r="C100" s="21"/>
      <c r="D100" s="21"/>
      <c r="E100" s="21"/>
      <c r="F100" s="21"/>
      <c r="G100" s="21"/>
      <c r="H100" s="21"/>
      <c r="I100" s="19"/>
      <c r="J100" s="22"/>
      <c r="K100" s="19">
        <f t="shared" si="1"/>
        <v>0</v>
      </c>
      <c r="L100" s="48"/>
      <c r="M100" s="48"/>
      <c r="N100" s="48"/>
      <c r="O100" s="20"/>
      <c r="P100" s="20"/>
    </row>
    <row r="101" spans="1:16" ht="15.75" customHeight="1">
      <c r="A101" s="20"/>
      <c r="B101" s="21"/>
      <c r="C101" s="21"/>
      <c r="D101" s="21"/>
      <c r="E101" s="21"/>
      <c r="F101" s="21"/>
      <c r="G101" s="21"/>
      <c r="H101" s="21"/>
      <c r="I101" s="19"/>
      <c r="J101" s="22"/>
      <c r="K101" s="19">
        <f t="shared" si="1"/>
        <v>0</v>
      </c>
      <c r="L101" s="48"/>
      <c r="M101" s="48"/>
      <c r="N101" s="48"/>
      <c r="O101" s="20"/>
      <c r="P101" s="20"/>
    </row>
    <row r="102" spans="1:16" ht="15.75" customHeight="1">
      <c r="A102" s="20"/>
      <c r="B102" s="21"/>
      <c r="C102" s="21"/>
      <c r="D102" s="21"/>
      <c r="E102" s="21"/>
      <c r="F102" s="21"/>
      <c r="G102" s="21"/>
      <c r="H102" s="21"/>
      <c r="I102" s="19"/>
      <c r="J102" s="22"/>
      <c r="K102" s="19">
        <f t="shared" si="1"/>
        <v>0</v>
      </c>
      <c r="L102" s="48"/>
      <c r="M102" s="48"/>
      <c r="N102" s="48"/>
      <c r="O102" s="20"/>
      <c r="P102" s="20"/>
    </row>
    <row r="103" spans="1:16" ht="15.75" customHeight="1">
      <c r="A103" s="20"/>
      <c r="B103" s="21"/>
      <c r="C103" s="21"/>
      <c r="D103" s="21"/>
      <c r="E103" s="21"/>
      <c r="F103" s="21"/>
      <c r="G103" s="21"/>
      <c r="H103" s="21"/>
      <c r="I103" s="19"/>
      <c r="J103" s="22"/>
      <c r="K103" s="19">
        <f t="shared" si="1"/>
        <v>0</v>
      </c>
      <c r="L103" s="48"/>
      <c r="M103" s="48"/>
      <c r="N103" s="48"/>
      <c r="O103" s="20"/>
      <c r="P103" s="20"/>
    </row>
    <row r="104" spans="1:16" ht="15.75" customHeight="1">
      <c r="A104" s="20"/>
      <c r="B104" s="21"/>
      <c r="C104" s="21"/>
      <c r="D104" s="21"/>
      <c r="E104" s="21"/>
      <c r="F104" s="21"/>
      <c r="G104" s="21"/>
      <c r="H104" s="21"/>
      <c r="I104" s="19"/>
      <c r="J104" s="22"/>
      <c r="K104" s="19">
        <f t="shared" si="1"/>
        <v>0</v>
      </c>
      <c r="L104" s="48"/>
      <c r="M104" s="48"/>
      <c r="N104" s="48"/>
      <c r="O104" s="20"/>
      <c r="P104" s="20"/>
    </row>
    <row r="105" spans="1:16" ht="15.75" customHeight="1">
      <c r="A105" s="20"/>
      <c r="B105" s="21"/>
      <c r="C105" s="21"/>
      <c r="D105" s="21"/>
      <c r="E105" s="21"/>
      <c r="F105" s="21"/>
      <c r="G105" s="21"/>
      <c r="H105" s="21"/>
      <c r="I105" s="19"/>
      <c r="J105" s="22"/>
      <c r="K105" s="19">
        <f t="shared" si="1"/>
        <v>0</v>
      </c>
      <c r="L105" s="48"/>
      <c r="M105" s="48"/>
      <c r="N105" s="48"/>
      <c r="O105" s="20"/>
      <c r="P105" s="20"/>
    </row>
    <row r="106" spans="1:16" ht="15.75" customHeight="1">
      <c r="A106" s="20"/>
      <c r="B106" s="21"/>
      <c r="C106" s="21"/>
      <c r="D106" s="21"/>
      <c r="E106" s="21"/>
      <c r="F106" s="21"/>
      <c r="G106" s="21"/>
      <c r="H106" s="21"/>
      <c r="I106" s="19"/>
      <c r="J106" s="22"/>
      <c r="K106" s="19">
        <f t="shared" si="1"/>
        <v>0</v>
      </c>
      <c r="L106" s="48"/>
      <c r="M106" s="48"/>
      <c r="N106" s="48"/>
      <c r="O106" s="20"/>
      <c r="P106" s="20"/>
    </row>
    <row r="107" spans="1:16" ht="15.75" customHeight="1">
      <c r="A107" s="20"/>
      <c r="B107" s="21"/>
      <c r="C107" s="21"/>
      <c r="D107" s="21"/>
      <c r="E107" s="21"/>
      <c r="F107" s="21"/>
      <c r="G107" s="21"/>
      <c r="H107" s="21"/>
      <c r="I107" s="19"/>
      <c r="J107" s="22"/>
      <c r="K107" s="19">
        <f t="shared" si="1"/>
        <v>0</v>
      </c>
      <c r="L107" s="48"/>
      <c r="M107" s="48"/>
      <c r="N107" s="48"/>
      <c r="O107" s="20"/>
      <c r="P107" s="20"/>
    </row>
    <row r="108" spans="1:16" ht="15.75" customHeight="1">
      <c r="A108" s="20"/>
      <c r="B108" s="21"/>
      <c r="C108" s="21"/>
      <c r="D108" s="21"/>
      <c r="E108" s="21"/>
      <c r="F108" s="21"/>
      <c r="G108" s="21"/>
      <c r="H108" s="21"/>
      <c r="I108" s="19"/>
      <c r="J108" s="22"/>
      <c r="K108" s="19">
        <f t="shared" si="1"/>
        <v>0</v>
      </c>
      <c r="L108" s="48"/>
      <c r="M108" s="48"/>
      <c r="N108" s="48"/>
      <c r="O108" s="20"/>
      <c r="P108" s="20"/>
    </row>
    <row r="109" spans="1:16" ht="15.75" customHeight="1">
      <c r="A109" s="20"/>
      <c r="B109" s="21"/>
      <c r="C109" s="21"/>
      <c r="D109" s="21"/>
      <c r="E109" s="21"/>
      <c r="F109" s="21"/>
      <c r="G109" s="21"/>
      <c r="H109" s="21"/>
      <c r="I109" s="19"/>
      <c r="J109" s="22"/>
      <c r="K109" s="19">
        <f t="shared" si="1"/>
        <v>0</v>
      </c>
      <c r="L109" s="48"/>
      <c r="M109" s="48"/>
      <c r="N109" s="48"/>
      <c r="O109" s="20"/>
      <c r="P109" s="20"/>
    </row>
    <row r="110" spans="1:16" ht="15.75" customHeight="1">
      <c r="A110" s="20"/>
      <c r="B110" s="21"/>
      <c r="C110" s="21"/>
      <c r="D110" s="21"/>
      <c r="E110" s="21"/>
      <c r="F110" s="21"/>
      <c r="G110" s="21"/>
      <c r="H110" s="21"/>
      <c r="I110" s="19"/>
      <c r="J110" s="22"/>
      <c r="K110" s="19">
        <f t="shared" si="1"/>
        <v>0</v>
      </c>
      <c r="L110" s="48"/>
      <c r="M110" s="48"/>
      <c r="N110" s="48"/>
      <c r="O110" s="20"/>
      <c r="P110" s="20"/>
    </row>
    <row r="111" spans="1:16" ht="15.75" customHeight="1">
      <c r="A111" s="20"/>
      <c r="B111" s="21"/>
      <c r="C111" s="21"/>
      <c r="D111" s="21"/>
      <c r="E111" s="21"/>
      <c r="F111" s="21"/>
      <c r="G111" s="21"/>
      <c r="H111" s="21"/>
      <c r="I111" s="19"/>
      <c r="J111" s="22"/>
      <c r="K111" s="19">
        <f t="shared" si="1"/>
        <v>0</v>
      </c>
      <c r="L111" s="48"/>
      <c r="M111" s="48"/>
      <c r="N111" s="48"/>
      <c r="O111" s="20"/>
      <c r="P111" s="20"/>
    </row>
    <row r="112" spans="1:16" ht="15.75" customHeight="1">
      <c r="A112" s="20"/>
      <c r="B112" s="21"/>
      <c r="C112" s="21"/>
      <c r="D112" s="21"/>
      <c r="E112" s="21"/>
      <c r="F112" s="21"/>
      <c r="G112" s="21"/>
      <c r="H112" s="21"/>
      <c r="I112" s="19"/>
      <c r="J112" s="22"/>
      <c r="K112" s="19">
        <f t="shared" si="1"/>
        <v>0</v>
      </c>
      <c r="L112" s="48"/>
      <c r="M112" s="48"/>
      <c r="N112" s="48"/>
      <c r="O112" s="20"/>
      <c r="P112" s="20"/>
    </row>
    <row r="113" spans="1:16" ht="15.75" customHeight="1">
      <c r="A113" s="20"/>
      <c r="B113" s="21"/>
      <c r="C113" s="21"/>
      <c r="D113" s="21"/>
      <c r="E113" s="21"/>
      <c r="F113" s="21"/>
      <c r="G113" s="21"/>
      <c r="H113" s="21"/>
      <c r="I113" s="19"/>
      <c r="J113" s="22"/>
      <c r="K113" s="19">
        <f t="shared" si="1"/>
        <v>0</v>
      </c>
      <c r="L113" s="48"/>
      <c r="M113" s="48"/>
      <c r="N113" s="48"/>
      <c r="O113" s="20"/>
      <c r="P113" s="20"/>
    </row>
    <row r="114" spans="1:16" ht="15.75" customHeight="1">
      <c r="A114" s="20"/>
      <c r="B114" s="21"/>
      <c r="C114" s="21"/>
      <c r="D114" s="21"/>
      <c r="E114" s="21"/>
      <c r="F114" s="21"/>
      <c r="G114" s="21"/>
      <c r="H114" s="21"/>
      <c r="I114" s="19"/>
      <c r="J114" s="22"/>
      <c r="K114" s="19">
        <f t="shared" si="1"/>
        <v>0</v>
      </c>
      <c r="L114" s="48"/>
      <c r="M114" s="48"/>
      <c r="N114" s="48"/>
      <c r="O114" s="20"/>
      <c r="P114" s="20"/>
    </row>
    <row r="115" spans="1:16" ht="15.75" customHeight="1">
      <c r="A115" s="20"/>
      <c r="B115" s="21"/>
      <c r="C115" s="21"/>
      <c r="D115" s="21"/>
      <c r="E115" s="21"/>
      <c r="F115" s="21"/>
      <c r="G115" s="21"/>
      <c r="H115" s="21"/>
      <c r="I115" s="19"/>
      <c r="J115" s="22"/>
      <c r="K115" s="19">
        <f t="shared" si="1"/>
        <v>0</v>
      </c>
      <c r="L115" s="48"/>
      <c r="M115" s="48"/>
      <c r="N115" s="48"/>
      <c r="O115" s="20"/>
      <c r="P115" s="20"/>
    </row>
    <row r="116" spans="1:16" ht="15.75" customHeight="1">
      <c r="A116" s="20"/>
      <c r="B116" s="21"/>
      <c r="C116" s="21"/>
      <c r="D116" s="21"/>
      <c r="E116" s="21"/>
      <c r="F116" s="21"/>
      <c r="G116" s="21"/>
      <c r="H116" s="21"/>
      <c r="I116" s="19"/>
      <c r="J116" s="22"/>
      <c r="K116" s="19">
        <f t="shared" ref="K116:K147" si="2">IF(I116="",0,I116*J116)</f>
        <v>0</v>
      </c>
      <c r="L116" s="48"/>
      <c r="M116" s="48"/>
      <c r="N116" s="48"/>
      <c r="O116" s="20"/>
      <c r="P116" s="20"/>
    </row>
    <row r="117" spans="1:16" ht="15.75" customHeight="1">
      <c r="A117" s="20"/>
      <c r="B117" s="21"/>
      <c r="C117" s="21"/>
      <c r="D117" s="21"/>
      <c r="E117" s="21"/>
      <c r="F117" s="21"/>
      <c r="G117" s="21"/>
      <c r="H117" s="21"/>
      <c r="I117" s="19"/>
      <c r="J117" s="22"/>
      <c r="K117" s="19">
        <f t="shared" si="2"/>
        <v>0</v>
      </c>
      <c r="L117" s="48"/>
      <c r="M117" s="48"/>
      <c r="N117" s="48"/>
      <c r="O117" s="20"/>
      <c r="P117" s="20"/>
    </row>
    <row r="118" spans="1:16" ht="15.75" customHeight="1">
      <c r="A118" s="20"/>
      <c r="B118" s="21"/>
      <c r="C118" s="21"/>
      <c r="D118" s="21"/>
      <c r="E118" s="21"/>
      <c r="F118" s="21"/>
      <c r="G118" s="21"/>
      <c r="H118" s="21"/>
      <c r="I118" s="19"/>
      <c r="J118" s="22"/>
      <c r="K118" s="19">
        <f t="shared" si="2"/>
        <v>0</v>
      </c>
      <c r="L118" s="48"/>
      <c r="M118" s="48"/>
      <c r="N118" s="48"/>
      <c r="O118" s="20"/>
      <c r="P118" s="20"/>
    </row>
    <row r="119" spans="1:16" ht="15.75" customHeight="1">
      <c r="A119" s="20"/>
      <c r="B119" s="21"/>
      <c r="C119" s="21"/>
      <c r="D119" s="21"/>
      <c r="E119" s="21"/>
      <c r="F119" s="21"/>
      <c r="G119" s="21"/>
      <c r="H119" s="21"/>
      <c r="I119" s="19"/>
      <c r="J119" s="22"/>
      <c r="K119" s="19">
        <f t="shared" si="2"/>
        <v>0</v>
      </c>
      <c r="L119" s="48"/>
      <c r="M119" s="48"/>
      <c r="N119" s="48"/>
      <c r="O119" s="20"/>
      <c r="P119" s="20"/>
    </row>
    <row r="120" spans="1:16" ht="15.75" customHeight="1">
      <c r="A120" s="20"/>
      <c r="B120" s="21"/>
      <c r="C120" s="21"/>
      <c r="D120" s="21"/>
      <c r="E120" s="21"/>
      <c r="F120" s="21"/>
      <c r="G120" s="21"/>
      <c r="H120" s="21"/>
      <c r="I120" s="19"/>
      <c r="J120" s="22"/>
      <c r="K120" s="19">
        <f t="shared" si="2"/>
        <v>0</v>
      </c>
      <c r="L120" s="48"/>
      <c r="M120" s="48"/>
      <c r="N120" s="48"/>
      <c r="O120" s="20"/>
      <c r="P120" s="20"/>
    </row>
    <row r="121" spans="1:16" ht="15.75" customHeight="1">
      <c r="A121" s="20"/>
      <c r="B121" s="21"/>
      <c r="C121" s="21"/>
      <c r="D121" s="21"/>
      <c r="E121" s="21"/>
      <c r="F121" s="21"/>
      <c r="G121" s="21"/>
      <c r="H121" s="21"/>
      <c r="I121" s="19"/>
      <c r="J121" s="22"/>
      <c r="K121" s="19">
        <f t="shared" si="2"/>
        <v>0</v>
      </c>
      <c r="L121" s="48"/>
      <c r="M121" s="48"/>
      <c r="N121" s="48"/>
      <c r="O121" s="20"/>
      <c r="P121" s="20"/>
    </row>
    <row r="122" spans="1:16" ht="15.75" customHeight="1">
      <c r="A122" s="20"/>
      <c r="B122" s="21"/>
      <c r="C122" s="21"/>
      <c r="D122" s="21"/>
      <c r="E122" s="21"/>
      <c r="F122" s="21"/>
      <c r="G122" s="21"/>
      <c r="H122" s="21"/>
      <c r="I122" s="19"/>
      <c r="J122" s="22"/>
      <c r="K122" s="19">
        <f t="shared" si="2"/>
        <v>0</v>
      </c>
      <c r="L122" s="48"/>
      <c r="M122" s="48"/>
      <c r="N122" s="48"/>
      <c r="O122" s="20"/>
      <c r="P122" s="20"/>
    </row>
    <row r="123" spans="1:16" ht="15.75" customHeight="1">
      <c r="A123" s="20"/>
      <c r="B123" s="21"/>
      <c r="C123" s="21"/>
      <c r="D123" s="21"/>
      <c r="E123" s="21"/>
      <c r="F123" s="21"/>
      <c r="G123" s="21"/>
      <c r="H123" s="21"/>
      <c r="I123" s="19"/>
      <c r="J123" s="22"/>
      <c r="K123" s="19">
        <f t="shared" si="2"/>
        <v>0</v>
      </c>
      <c r="L123" s="48"/>
      <c r="M123" s="48"/>
      <c r="N123" s="48"/>
      <c r="O123" s="20"/>
      <c r="P123" s="20"/>
    </row>
    <row r="124" spans="1:16" ht="15.75" customHeight="1">
      <c r="A124" s="20"/>
      <c r="B124" s="21"/>
      <c r="C124" s="21"/>
      <c r="D124" s="21"/>
      <c r="E124" s="21"/>
      <c r="F124" s="21"/>
      <c r="G124" s="21"/>
      <c r="H124" s="21"/>
      <c r="I124" s="19"/>
      <c r="J124" s="22"/>
      <c r="K124" s="19">
        <f t="shared" si="2"/>
        <v>0</v>
      </c>
      <c r="L124" s="48"/>
      <c r="M124" s="48"/>
      <c r="N124" s="48"/>
      <c r="O124" s="20"/>
      <c r="P124" s="20"/>
    </row>
    <row r="125" spans="1:16" ht="15.75" customHeight="1">
      <c r="A125" s="20"/>
      <c r="B125" s="21"/>
      <c r="C125" s="21"/>
      <c r="D125" s="21"/>
      <c r="E125" s="21"/>
      <c r="F125" s="21"/>
      <c r="G125" s="21"/>
      <c r="H125" s="21"/>
      <c r="I125" s="19"/>
      <c r="J125" s="22"/>
      <c r="K125" s="19">
        <f t="shared" si="2"/>
        <v>0</v>
      </c>
      <c r="L125" s="48"/>
      <c r="M125" s="48"/>
      <c r="N125" s="48"/>
      <c r="O125" s="20"/>
      <c r="P125" s="20"/>
    </row>
    <row r="126" spans="1:16" ht="15.75" customHeight="1">
      <c r="A126" s="20"/>
      <c r="B126" s="21"/>
      <c r="C126" s="21"/>
      <c r="D126" s="21"/>
      <c r="E126" s="21"/>
      <c r="F126" s="21"/>
      <c r="G126" s="21"/>
      <c r="H126" s="21"/>
      <c r="I126" s="19"/>
      <c r="J126" s="22"/>
      <c r="K126" s="19">
        <f t="shared" si="2"/>
        <v>0</v>
      </c>
      <c r="L126" s="48"/>
      <c r="M126" s="48"/>
      <c r="N126" s="48"/>
      <c r="O126" s="20"/>
      <c r="P126" s="20"/>
    </row>
    <row r="127" spans="1:16" ht="15.75" customHeight="1">
      <c r="A127" s="20"/>
      <c r="B127" s="21"/>
      <c r="C127" s="21"/>
      <c r="D127" s="21"/>
      <c r="E127" s="21"/>
      <c r="F127" s="21"/>
      <c r="G127" s="21"/>
      <c r="H127" s="21"/>
      <c r="I127" s="19"/>
      <c r="J127" s="22"/>
      <c r="K127" s="19">
        <f t="shared" si="2"/>
        <v>0</v>
      </c>
      <c r="L127" s="48"/>
      <c r="M127" s="48"/>
      <c r="N127" s="48"/>
      <c r="O127" s="20"/>
      <c r="P127" s="20"/>
    </row>
    <row r="128" spans="1:16" ht="15.75" customHeight="1">
      <c r="A128" s="20"/>
      <c r="B128" s="21"/>
      <c r="C128" s="21"/>
      <c r="D128" s="21"/>
      <c r="E128" s="21"/>
      <c r="F128" s="21"/>
      <c r="G128" s="21"/>
      <c r="H128" s="21"/>
      <c r="I128" s="19"/>
      <c r="J128" s="22"/>
      <c r="K128" s="19">
        <f t="shared" si="2"/>
        <v>0</v>
      </c>
      <c r="L128" s="48"/>
      <c r="M128" s="48"/>
      <c r="N128" s="48"/>
      <c r="O128" s="20"/>
      <c r="P128" s="20"/>
    </row>
    <row r="129" spans="1:16" ht="15.75" customHeight="1">
      <c r="A129" s="20"/>
      <c r="B129" s="21"/>
      <c r="C129" s="21"/>
      <c r="D129" s="21"/>
      <c r="E129" s="21"/>
      <c r="F129" s="21"/>
      <c r="G129" s="21"/>
      <c r="H129" s="21"/>
      <c r="I129" s="19"/>
      <c r="J129" s="22"/>
      <c r="K129" s="19">
        <f t="shared" si="2"/>
        <v>0</v>
      </c>
      <c r="L129" s="48"/>
      <c r="M129" s="48"/>
      <c r="N129" s="48"/>
      <c r="O129" s="20"/>
      <c r="P129" s="20"/>
    </row>
    <row r="130" spans="1:16" ht="15.75" customHeight="1">
      <c r="A130" s="20"/>
      <c r="B130" s="21"/>
      <c r="C130" s="21"/>
      <c r="D130" s="21"/>
      <c r="E130" s="21"/>
      <c r="F130" s="21"/>
      <c r="G130" s="21"/>
      <c r="H130" s="21"/>
      <c r="I130" s="19"/>
      <c r="J130" s="22"/>
      <c r="K130" s="19">
        <f t="shared" si="2"/>
        <v>0</v>
      </c>
      <c r="L130" s="48"/>
      <c r="M130" s="48"/>
      <c r="N130" s="48"/>
      <c r="O130" s="20"/>
      <c r="P130" s="20"/>
    </row>
    <row r="131" spans="1:16" ht="15.75" customHeight="1">
      <c r="A131" s="20"/>
      <c r="B131" s="21"/>
      <c r="C131" s="21"/>
      <c r="D131" s="21"/>
      <c r="E131" s="21"/>
      <c r="F131" s="21"/>
      <c r="G131" s="21"/>
      <c r="H131" s="21"/>
      <c r="I131" s="19"/>
      <c r="J131" s="22"/>
      <c r="K131" s="19">
        <f t="shared" si="2"/>
        <v>0</v>
      </c>
      <c r="L131" s="48"/>
      <c r="M131" s="48"/>
      <c r="N131" s="48"/>
      <c r="O131" s="20"/>
      <c r="P131" s="20"/>
    </row>
    <row r="132" spans="1:16" ht="15.75" customHeight="1">
      <c r="A132" s="20"/>
      <c r="B132" s="21"/>
      <c r="C132" s="21"/>
      <c r="D132" s="21"/>
      <c r="E132" s="21"/>
      <c r="F132" s="21"/>
      <c r="G132" s="21"/>
      <c r="H132" s="21"/>
      <c r="I132" s="19"/>
      <c r="J132" s="22"/>
      <c r="K132" s="19">
        <f t="shared" si="2"/>
        <v>0</v>
      </c>
      <c r="L132" s="48"/>
      <c r="M132" s="48"/>
      <c r="N132" s="48"/>
      <c r="O132" s="20"/>
      <c r="P132" s="20"/>
    </row>
    <row r="133" spans="1:16" ht="15.75" customHeight="1">
      <c r="A133" s="20"/>
      <c r="B133" s="21"/>
      <c r="C133" s="21"/>
      <c r="D133" s="21"/>
      <c r="E133" s="21"/>
      <c r="F133" s="21"/>
      <c r="G133" s="21"/>
      <c r="H133" s="21"/>
      <c r="I133" s="19"/>
      <c r="J133" s="22"/>
      <c r="K133" s="19">
        <f t="shared" si="2"/>
        <v>0</v>
      </c>
      <c r="L133" s="48"/>
      <c r="M133" s="48"/>
      <c r="N133" s="48"/>
      <c r="O133" s="20"/>
      <c r="P133" s="20"/>
    </row>
    <row r="134" spans="1:16" ht="15.75" customHeight="1">
      <c r="A134" s="20"/>
      <c r="B134" s="21"/>
      <c r="C134" s="21"/>
      <c r="D134" s="21"/>
      <c r="E134" s="21"/>
      <c r="F134" s="21"/>
      <c r="G134" s="21"/>
      <c r="H134" s="21"/>
      <c r="I134" s="19"/>
      <c r="J134" s="22"/>
      <c r="K134" s="19">
        <f t="shared" si="2"/>
        <v>0</v>
      </c>
      <c r="L134" s="48"/>
      <c r="M134" s="48"/>
      <c r="N134" s="48"/>
      <c r="O134" s="20"/>
      <c r="P134" s="20"/>
    </row>
    <row r="135" spans="1:16" ht="15.75" customHeight="1">
      <c r="A135" s="20"/>
      <c r="B135" s="21"/>
      <c r="C135" s="21"/>
      <c r="D135" s="21"/>
      <c r="E135" s="21"/>
      <c r="F135" s="21"/>
      <c r="G135" s="21"/>
      <c r="H135" s="21"/>
      <c r="I135" s="19"/>
      <c r="J135" s="22"/>
      <c r="K135" s="19">
        <f t="shared" si="2"/>
        <v>0</v>
      </c>
      <c r="L135" s="48"/>
      <c r="M135" s="48"/>
      <c r="N135" s="48"/>
      <c r="O135" s="20"/>
      <c r="P135" s="20"/>
    </row>
    <row r="136" spans="1:16" ht="15.75" customHeight="1">
      <c r="A136" s="20"/>
      <c r="B136" s="21"/>
      <c r="C136" s="21"/>
      <c r="D136" s="21"/>
      <c r="E136" s="21"/>
      <c r="F136" s="21"/>
      <c r="G136" s="21"/>
      <c r="H136" s="21"/>
      <c r="I136" s="19"/>
      <c r="J136" s="22"/>
      <c r="K136" s="19">
        <f t="shared" si="2"/>
        <v>0</v>
      </c>
      <c r="L136" s="48"/>
      <c r="M136" s="48"/>
      <c r="N136" s="48"/>
      <c r="O136" s="20"/>
      <c r="P136" s="20"/>
    </row>
    <row r="137" spans="1:16" ht="15.75" customHeight="1">
      <c r="A137" s="20"/>
      <c r="B137" s="21"/>
      <c r="C137" s="21"/>
      <c r="D137" s="21"/>
      <c r="E137" s="21"/>
      <c r="F137" s="21"/>
      <c r="G137" s="21"/>
      <c r="H137" s="21"/>
      <c r="I137" s="19"/>
      <c r="J137" s="22"/>
      <c r="K137" s="19">
        <f t="shared" si="2"/>
        <v>0</v>
      </c>
      <c r="L137" s="48"/>
      <c r="M137" s="48"/>
      <c r="N137" s="48"/>
      <c r="O137" s="20"/>
      <c r="P137" s="20"/>
    </row>
    <row r="138" spans="1:16" ht="15.75" customHeight="1">
      <c r="A138" s="20"/>
      <c r="B138" s="21"/>
      <c r="C138" s="21"/>
      <c r="D138" s="21"/>
      <c r="E138" s="21"/>
      <c r="F138" s="21"/>
      <c r="G138" s="21"/>
      <c r="H138" s="21"/>
      <c r="I138" s="19"/>
      <c r="J138" s="22"/>
      <c r="K138" s="19">
        <f t="shared" si="2"/>
        <v>0</v>
      </c>
      <c r="L138" s="48"/>
      <c r="M138" s="48"/>
      <c r="N138" s="48"/>
      <c r="O138" s="20"/>
      <c r="P138" s="20"/>
    </row>
    <row r="139" spans="1:16" ht="15.75" customHeight="1">
      <c r="A139" s="20"/>
      <c r="B139" s="21"/>
      <c r="C139" s="21"/>
      <c r="D139" s="21"/>
      <c r="E139" s="21"/>
      <c r="F139" s="21"/>
      <c r="G139" s="21"/>
      <c r="H139" s="21"/>
      <c r="I139" s="19"/>
      <c r="J139" s="22"/>
      <c r="K139" s="19">
        <f t="shared" si="2"/>
        <v>0</v>
      </c>
      <c r="L139" s="48"/>
      <c r="M139" s="48"/>
      <c r="N139" s="48"/>
      <c r="O139" s="20"/>
      <c r="P139" s="20"/>
    </row>
    <row r="140" spans="1:16" ht="15.75" customHeight="1">
      <c r="A140" s="20"/>
      <c r="B140" s="21"/>
      <c r="C140" s="21"/>
      <c r="D140" s="21"/>
      <c r="E140" s="21"/>
      <c r="F140" s="21"/>
      <c r="G140" s="21"/>
      <c r="H140" s="21"/>
      <c r="I140" s="19"/>
      <c r="J140" s="22"/>
      <c r="K140" s="19">
        <f t="shared" si="2"/>
        <v>0</v>
      </c>
      <c r="L140" s="48"/>
      <c r="M140" s="48"/>
      <c r="N140" s="48"/>
      <c r="O140" s="20"/>
      <c r="P140" s="20"/>
    </row>
    <row r="141" spans="1:16" ht="15.75" customHeight="1">
      <c r="A141" s="20"/>
      <c r="B141" s="21"/>
      <c r="C141" s="21"/>
      <c r="D141" s="21"/>
      <c r="E141" s="21"/>
      <c r="F141" s="21"/>
      <c r="G141" s="21"/>
      <c r="H141" s="21"/>
      <c r="I141" s="19"/>
      <c r="J141" s="22"/>
      <c r="K141" s="19">
        <f t="shared" si="2"/>
        <v>0</v>
      </c>
      <c r="L141" s="48"/>
      <c r="M141" s="48"/>
      <c r="N141" s="48"/>
      <c r="O141" s="20"/>
      <c r="P141" s="20"/>
    </row>
    <row r="142" spans="1:16" ht="15.75" customHeight="1">
      <c r="A142" s="20"/>
      <c r="B142" s="21"/>
      <c r="C142" s="21"/>
      <c r="D142" s="21"/>
      <c r="E142" s="21"/>
      <c r="F142" s="21"/>
      <c r="G142" s="21"/>
      <c r="H142" s="21"/>
      <c r="I142" s="19"/>
      <c r="J142" s="22"/>
      <c r="K142" s="19">
        <f t="shared" si="2"/>
        <v>0</v>
      </c>
      <c r="L142" s="48"/>
      <c r="M142" s="48"/>
      <c r="N142" s="48"/>
      <c r="O142" s="20"/>
      <c r="P142" s="20"/>
    </row>
    <row r="143" spans="1:16" ht="15.75" customHeight="1">
      <c r="A143" s="20"/>
      <c r="B143" s="21"/>
      <c r="C143" s="21"/>
      <c r="D143" s="21"/>
      <c r="E143" s="21"/>
      <c r="F143" s="21"/>
      <c r="G143" s="21"/>
      <c r="H143" s="21"/>
      <c r="I143" s="19"/>
      <c r="J143" s="22"/>
      <c r="K143" s="19">
        <f t="shared" si="2"/>
        <v>0</v>
      </c>
      <c r="L143" s="48"/>
      <c r="M143" s="48"/>
      <c r="N143" s="48"/>
      <c r="O143" s="20"/>
      <c r="P143" s="20"/>
    </row>
    <row r="144" spans="1:16" ht="15.75" customHeight="1">
      <c r="A144" s="20"/>
      <c r="B144" s="21"/>
      <c r="C144" s="21"/>
      <c r="D144" s="21"/>
      <c r="E144" s="21"/>
      <c r="F144" s="21"/>
      <c r="G144" s="21"/>
      <c r="H144" s="21"/>
      <c r="I144" s="19"/>
      <c r="J144" s="22"/>
      <c r="K144" s="19">
        <f t="shared" si="2"/>
        <v>0</v>
      </c>
      <c r="L144" s="48"/>
      <c r="M144" s="48"/>
      <c r="N144" s="48"/>
      <c r="O144" s="20"/>
      <c r="P144" s="20"/>
    </row>
    <row r="145" spans="1:16" ht="15.75" customHeight="1">
      <c r="A145" s="20"/>
      <c r="B145" s="21"/>
      <c r="C145" s="21"/>
      <c r="D145" s="21"/>
      <c r="E145" s="21"/>
      <c r="F145" s="21"/>
      <c r="G145" s="21"/>
      <c r="H145" s="21"/>
      <c r="I145" s="19"/>
      <c r="J145" s="22"/>
      <c r="K145" s="19">
        <f t="shared" si="2"/>
        <v>0</v>
      </c>
      <c r="L145" s="48"/>
      <c r="M145" s="48"/>
      <c r="N145" s="48"/>
      <c r="O145" s="20"/>
      <c r="P145" s="20"/>
    </row>
    <row r="146" spans="1:16" ht="15.75" customHeight="1">
      <c r="A146" s="20"/>
      <c r="B146" s="21"/>
      <c r="C146" s="21"/>
      <c r="D146" s="21"/>
      <c r="E146" s="21"/>
      <c r="F146" s="21"/>
      <c r="G146" s="21"/>
      <c r="H146" s="21"/>
      <c r="I146" s="19"/>
      <c r="J146" s="22"/>
      <c r="K146" s="19">
        <f t="shared" si="2"/>
        <v>0</v>
      </c>
      <c r="L146" s="48"/>
      <c r="M146" s="48"/>
      <c r="N146" s="48"/>
      <c r="O146" s="20"/>
      <c r="P146" s="20"/>
    </row>
    <row r="147" spans="1:16" ht="15.75" customHeight="1">
      <c r="A147" s="20"/>
      <c r="B147" s="21"/>
      <c r="C147" s="21"/>
      <c r="D147" s="21"/>
      <c r="E147" s="21"/>
      <c r="F147" s="21"/>
      <c r="G147" s="21"/>
      <c r="H147" s="21"/>
      <c r="I147" s="19"/>
      <c r="J147" s="22"/>
      <c r="K147" s="19">
        <f t="shared" si="2"/>
        <v>0</v>
      </c>
      <c r="L147" s="48"/>
      <c r="M147" s="48"/>
      <c r="N147" s="48"/>
      <c r="O147" s="20"/>
      <c r="P147" s="20"/>
    </row>
    <row r="148" spans="1:16" ht="15.75" customHeight="1">
      <c r="A148" s="20"/>
      <c r="B148" s="21"/>
      <c r="C148" s="21"/>
      <c r="D148" s="21"/>
      <c r="E148" s="21"/>
      <c r="F148" s="21"/>
      <c r="G148" s="21"/>
      <c r="H148" s="21"/>
      <c r="I148" s="19"/>
      <c r="J148" s="22"/>
      <c r="K148" s="19">
        <f t="shared" ref="K148:K151" si="3">IF(I148="",0,I148*J148)</f>
        <v>0</v>
      </c>
      <c r="L148" s="48"/>
      <c r="M148" s="48"/>
      <c r="N148" s="48"/>
      <c r="O148" s="20"/>
      <c r="P148" s="20"/>
    </row>
    <row r="149" spans="1:16" ht="15.75" customHeight="1">
      <c r="A149" s="20"/>
      <c r="B149" s="21"/>
      <c r="C149" s="21"/>
      <c r="D149" s="21"/>
      <c r="E149" s="21"/>
      <c r="F149" s="21"/>
      <c r="G149" s="21"/>
      <c r="H149" s="21"/>
      <c r="I149" s="19"/>
      <c r="J149" s="22"/>
      <c r="K149" s="19">
        <f t="shared" si="3"/>
        <v>0</v>
      </c>
      <c r="L149" s="48"/>
      <c r="M149" s="48"/>
      <c r="N149" s="48"/>
      <c r="O149" s="20"/>
      <c r="P149" s="20"/>
    </row>
    <row r="150" spans="1:16" ht="15.75" customHeight="1">
      <c r="A150" s="20"/>
      <c r="B150" s="21"/>
      <c r="C150" s="21"/>
      <c r="D150" s="21"/>
      <c r="E150" s="21"/>
      <c r="F150" s="21"/>
      <c r="G150" s="21"/>
      <c r="H150" s="21"/>
      <c r="I150" s="19"/>
      <c r="J150" s="22"/>
      <c r="K150" s="19">
        <f t="shared" si="3"/>
        <v>0</v>
      </c>
      <c r="L150" s="48"/>
      <c r="M150" s="48"/>
      <c r="N150" s="48"/>
      <c r="O150" s="20"/>
      <c r="P150" s="20"/>
    </row>
    <row r="151" spans="1:16" ht="15.75" customHeight="1">
      <c r="A151" s="20"/>
      <c r="B151" s="21"/>
      <c r="C151" s="21"/>
      <c r="D151" s="21"/>
      <c r="E151" s="21"/>
      <c r="F151" s="21"/>
      <c r="G151" s="21"/>
      <c r="H151" s="21"/>
      <c r="I151" s="19"/>
      <c r="J151" s="22"/>
      <c r="K151" s="19">
        <f t="shared" si="3"/>
        <v>0</v>
      </c>
      <c r="L151" s="48"/>
      <c r="M151" s="48"/>
      <c r="N151" s="48"/>
      <c r="O151" s="20"/>
      <c r="P151" s="20"/>
    </row>
    <row r="152" spans="1:16" ht="15.75" customHeight="1"/>
    <row r="153" spans="1:16" ht="15.75" customHeight="1"/>
    <row r="154" spans="1:16" ht="15.75" customHeight="1"/>
    <row r="155" spans="1:16" ht="15.75" customHeight="1"/>
    <row r="156" spans="1:16" ht="15.75" customHeight="1"/>
    <row r="157" spans="1:16" ht="15.75" customHeight="1"/>
    <row r="158" spans="1:16" ht="15.75" customHeight="1"/>
    <row r="159" spans="1:16" ht="15.75" customHeight="1"/>
    <row r="160" spans="1:16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4">
    <mergeCell ref="M5:P5"/>
    <mergeCell ref="A5:D5"/>
    <mergeCell ref="A17:P17"/>
    <mergeCell ref="A1:P2"/>
    <mergeCell ref="F15:P15"/>
    <mergeCell ref="A9:P9"/>
    <mergeCell ref="E6:H7"/>
    <mergeCell ref="A4:P4"/>
    <mergeCell ref="I6:L7"/>
    <mergeCell ref="M6:P7"/>
    <mergeCell ref="F14:P14"/>
    <mergeCell ref="A6:D7"/>
    <mergeCell ref="E5:H5"/>
    <mergeCell ref="I5:L5"/>
  </mergeCells>
  <dataValidations count="7">
    <dataValidation type="list" allowBlank="1" sqref="C42:C151">
      <formula1>'⚙ Control Panel'!$E$5:$E$6</formula1>
    </dataValidation>
    <dataValidation type="list" allowBlank="1" sqref="F42:F151">
      <formula1>'⚙ Control Panel'!$C$14:$C$18</formula1>
    </dataValidation>
    <dataValidation type="list" allowBlank="1" sqref="G42:G151">
      <formula1>'⚙ Control Panel'!$E$14:$E$16</formula1>
    </dataValidation>
    <dataValidation type="list" allowBlank="1" sqref="E42:E151">
      <formula1>'⚙ Control Panel'!$A$14:$A$16</formula1>
    </dataValidation>
    <dataValidation type="list" allowBlank="1" sqref="D42:D151">
      <formula1>'⚙ Control Panel'!$G$5:$G$7</formula1>
    </dataValidation>
    <dataValidation type="list" allowBlank="1" sqref="B42:B151">
      <formula1>'⚙ Control Panel'!$C$5:$C$10</formula1>
    </dataValidation>
    <dataValidation type="list" allowBlank="1" sqref="H42:H151">
      <formula1>'⚙ Control Panel'!$G$14:$G$17</formula1>
    </dataValidation>
  </dataValidations>
  <pageMargins left="0.75" right="0.75" top="1" bottom="1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E7D9A"/>
  </sheetPr>
  <dimension ref="A1:Z1000"/>
  <sheetViews>
    <sheetView topLeftCell="C1" zoomScale="85" zoomScaleNormal="85" workbookViewId="0">
      <pane ySplit="16" topLeftCell="A50" activePane="bottomLeft" state="frozen"/>
      <selection pane="bottomLeft" activeCell="N49" sqref="N49"/>
    </sheetView>
  </sheetViews>
  <sheetFormatPr defaultColWidth="14.44140625" defaultRowHeight="15" customHeight="1"/>
  <cols>
    <col min="1" max="1" width="22" style="32" customWidth="1"/>
    <col min="2" max="2" width="14" style="32" customWidth="1"/>
    <col min="3" max="3" width="11" style="32" customWidth="1"/>
    <col min="4" max="4" width="10" style="32" customWidth="1"/>
    <col min="5" max="6" width="14" style="32" customWidth="1"/>
    <col min="7" max="7" width="16" style="32" customWidth="1"/>
    <col min="8" max="8" width="18" style="32" customWidth="1"/>
    <col min="9" max="9" width="14" style="32" customWidth="1"/>
    <col min="10" max="10" width="11" style="32" customWidth="1"/>
    <col min="11" max="11" width="16" style="32" customWidth="1"/>
    <col min="12" max="13" width="13" style="36" customWidth="1"/>
    <col min="14" max="14" width="13" style="32" customWidth="1"/>
    <col min="15" max="15" width="22" style="32" customWidth="1"/>
    <col min="16" max="18" width="35.33203125" style="32" customWidth="1"/>
    <col min="19" max="22" width="14" style="32" customWidth="1"/>
    <col min="23" max="26" width="8.6640625" style="32" customWidth="1"/>
  </cols>
  <sheetData>
    <row r="1" spans="1:22" ht="21.75" customHeight="1">
      <c r="A1" s="58" t="s">
        <v>370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65"/>
      <c r="M1" s="65"/>
      <c r="N1" s="51"/>
      <c r="O1" s="51"/>
      <c r="P1" s="51"/>
    </row>
    <row r="2" spans="1:22" ht="21.75" customHeigh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65"/>
      <c r="M2" s="65"/>
      <c r="N2" s="51"/>
      <c r="O2" s="51"/>
      <c r="P2" s="51"/>
    </row>
    <row r="3" spans="1:22" ht="24" customHeight="1">
      <c r="S3" s="5" t="s">
        <v>47</v>
      </c>
      <c r="T3" s="5" t="s">
        <v>91</v>
      </c>
      <c r="U3" s="5" t="s">
        <v>49</v>
      </c>
      <c r="V3" s="5" t="s">
        <v>50</v>
      </c>
    </row>
    <row r="4" spans="1:22" ht="14.4" customHeight="1">
      <c r="A4" s="57" t="s">
        <v>92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65"/>
      <c r="M4" s="65"/>
      <c r="N4" s="51"/>
      <c r="O4" s="51"/>
      <c r="P4" s="51"/>
      <c r="S4" s="6" t="s">
        <v>55</v>
      </c>
      <c r="T4" s="26">
        <v>1500000</v>
      </c>
      <c r="U4" s="17">
        <f>SUMPRODUCT(IFERROR((MONTH(L42:L141)=1)*(YEAR(L42:L141)=2026),0)*I42:I141)</f>
        <v>0</v>
      </c>
      <c r="V4" s="17">
        <f>SUMPRODUCT(IFERROR((MONTH(M42:M141)=1)*(YEAR(M42:M141)=2026),0)*I42:I141)</f>
        <v>0</v>
      </c>
    </row>
    <row r="5" spans="1:22" ht="27.75" customHeight="1">
      <c r="A5" s="53" t="s">
        <v>63</v>
      </c>
      <c r="B5" s="51"/>
      <c r="C5" s="51"/>
      <c r="D5" s="51"/>
      <c r="E5" s="53" t="s">
        <v>52</v>
      </c>
      <c r="F5" s="51"/>
      <c r="G5" s="51"/>
      <c r="H5" s="51"/>
      <c r="I5" s="66" t="s">
        <v>53</v>
      </c>
      <c r="J5" s="51"/>
      <c r="K5" s="51"/>
      <c r="L5" s="65"/>
      <c r="M5" s="53" t="s">
        <v>93</v>
      </c>
      <c r="N5" s="51"/>
      <c r="O5" s="51"/>
      <c r="P5" s="51"/>
      <c r="S5" s="7" t="s">
        <v>56</v>
      </c>
      <c r="T5" s="27">
        <v>2500000</v>
      </c>
      <c r="U5" s="16">
        <f>SUMPRODUCT(IFERROR((MONTH(L42:L141)=2)*(YEAR(L42:L141)=2026),0)*I42:I141)</f>
        <v>0</v>
      </c>
      <c r="V5" s="16">
        <f>SUMPRODUCT(IFERROR((MONTH(M42:M141)=2)*(YEAR(M42:M141)=2026),0)*I42:I141)</f>
        <v>0</v>
      </c>
    </row>
    <row r="6" spans="1:22" ht="21.75" customHeight="1">
      <c r="A6" s="59">
        <f>SUMIF(B42:B141,"&lt;&gt;Delivered",I42:I141)</f>
        <v>0</v>
      </c>
      <c r="B6" s="55"/>
      <c r="C6" s="55"/>
      <c r="D6" s="55"/>
      <c r="E6" s="59">
        <f>SUM(K42:K141)</f>
        <v>792955</v>
      </c>
      <c r="F6" s="55"/>
      <c r="G6" s="55"/>
      <c r="H6" s="55"/>
      <c r="I6" s="59">
        <f ca="1">SUMPRODUCT((B42:B141="Deal Signed")*IFERROR((MONTH(L42:L141)=MONTH(TODAY()))*(YEAR(L42:L141)=YEAR(TODAY())),0)*I42:I141)+SUMPRODUCT((B42:B141="Delivered")*IFERROR((MONTH(L42:L141)=MONTH(TODAY()))*(YEAR(L42:L141)=YEAR(TODAY())),0)*I42:I141)</f>
        <v>0</v>
      </c>
      <c r="J6" s="55"/>
      <c r="K6" s="55"/>
      <c r="L6" s="55"/>
      <c r="M6" s="54">
        <f>SUM(T4:T15)</f>
        <v>28000000</v>
      </c>
      <c r="N6" s="55"/>
      <c r="O6" s="55"/>
      <c r="P6" s="55"/>
      <c r="S6" s="6" t="s">
        <v>57</v>
      </c>
      <c r="T6" s="26">
        <v>4500000</v>
      </c>
      <c r="U6" s="17">
        <f>SUMPRODUCT(IFERROR((MONTH(L42:L141)=3)*(YEAR(L42:L141)=2026),0)*I42:I141)</f>
        <v>0</v>
      </c>
      <c r="V6" s="17">
        <f>SUMPRODUCT(IFERROR((MONTH(M42:M141)=3)*(YEAR(M42:M141)=2026),0)*I42:I141)</f>
        <v>0</v>
      </c>
    </row>
    <row r="7" spans="1:22" ht="21.75" customHeight="1">
      <c r="A7" s="56"/>
      <c r="B7" s="51"/>
      <c r="C7" s="51"/>
      <c r="D7" s="51"/>
      <c r="E7" s="56"/>
      <c r="F7" s="51"/>
      <c r="G7" s="51"/>
      <c r="H7" s="51"/>
      <c r="I7" s="56"/>
      <c r="J7" s="51"/>
      <c r="K7" s="51"/>
      <c r="L7" s="65"/>
      <c r="M7" s="56"/>
      <c r="N7" s="51"/>
      <c r="O7" s="51"/>
      <c r="P7" s="51"/>
      <c r="S7" s="7" t="s">
        <v>58</v>
      </c>
      <c r="T7" s="27">
        <v>4500000</v>
      </c>
      <c r="U7" s="16">
        <f>SUMPRODUCT(IFERROR((MONTH(L42:L141)=4)*(YEAR(L42:L141)=2026),0)*I42:I141)</f>
        <v>0</v>
      </c>
      <c r="V7" s="16">
        <f>SUMPRODUCT(IFERROR((MONTH(M42:M141)=4)*(YEAR(M42:M141)=2026),0)*I42:I141)</f>
        <v>0</v>
      </c>
    </row>
    <row r="8" spans="1:22" ht="14.4" customHeight="1">
      <c r="S8" s="6" t="s">
        <v>59</v>
      </c>
      <c r="T8" s="26">
        <v>2500000</v>
      </c>
      <c r="U8" s="17">
        <f>SUMPRODUCT(IFERROR((MONTH(L42:L141)=5)*(YEAR(L42:L141)=2026),0)*I42:I141)</f>
        <v>0</v>
      </c>
      <c r="V8" s="17">
        <f>SUMPRODUCT(IFERROR((MONTH(M42:M141)=5)*(YEAR(M42:M141)=2026),0)*I42:I141)</f>
        <v>0</v>
      </c>
    </row>
    <row r="9" spans="1:22" ht="14.4" customHeight="1">
      <c r="A9" s="57" t="s">
        <v>94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65"/>
      <c r="M9" s="65"/>
      <c r="N9" s="51"/>
      <c r="O9" s="51"/>
      <c r="P9" s="51"/>
      <c r="S9" s="7" t="s">
        <v>61</v>
      </c>
      <c r="T9" s="27">
        <v>1500000</v>
      </c>
      <c r="U9" s="16">
        <f>SUMPRODUCT(IFERROR((MONTH(L42:L141)=6)*(YEAR(L42:L141)=2026),0)*I42:I141)</f>
        <v>0</v>
      </c>
      <c r="V9" s="16">
        <f>SUMPRODUCT(IFERROR((MONTH(M42:M141)=6)*(YEAR(M42:M141)=2026),0)*I42:I141)</f>
        <v>0</v>
      </c>
    </row>
    <row r="10" spans="1:22" ht="14.4" customHeight="1">
      <c r="A10" s="14" t="s">
        <v>2</v>
      </c>
      <c r="B10" s="14" t="s">
        <v>86</v>
      </c>
      <c r="C10" s="14" t="s">
        <v>87</v>
      </c>
      <c r="D10" s="14" t="s">
        <v>83</v>
      </c>
      <c r="F10" s="14" t="s">
        <v>4</v>
      </c>
      <c r="G10" s="14" t="s">
        <v>86</v>
      </c>
      <c r="H10" s="14" t="s">
        <v>87</v>
      </c>
      <c r="I10" s="14" t="s">
        <v>83</v>
      </c>
      <c r="S10" s="6" t="s">
        <v>72</v>
      </c>
      <c r="T10" s="26">
        <v>2000000</v>
      </c>
      <c r="U10" s="17">
        <f>SUMPRODUCT(IFERROR((MONTH(L42:L141)=7)*(YEAR(L42:L141)=2026),0)*I42:I141)</f>
        <v>0</v>
      </c>
      <c r="V10" s="17">
        <f>SUMPRODUCT(IFERROR((MONTH(M42:M141)=7)*(YEAR(M42:M141)=2026),0)*I42:I141)</f>
        <v>0</v>
      </c>
    </row>
    <row r="11" spans="1:22" ht="14.4" customHeight="1">
      <c r="A11" s="15" t="s">
        <v>6</v>
      </c>
      <c r="B11" s="19">
        <f>COUNTIF(B42:B141,"Interest")</f>
        <v>0</v>
      </c>
      <c r="C11" s="19">
        <f>SUMIF(B42:B141,"Interest",I42:I141)</f>
        <v>0</v>
      </c>
      <c r="D11" s="37">
        <f>IFERROR(SUMIF(B42:B141,"Interest",I42:I141)/SUM(I42:I141),0)</f>
        <v>0</v>
      </c>
      <c r="F11" s="15" t="s">
        <v>8</v>
      </c>
      <c r="G11" s="19">
        <f>COUNTIF(D42:D141,"High")</f>
        <v>8</v>
      </c>
      <c r="H11" s="19">
        <f>SUMIF(D42:D141,"High",I42:I141)</f>
        <v>792955</v>
      </c>
      <c r="I11" s="37">
        <f>IFERROR(SUMIF(D42:D141,"High",I42:I141)/SUM(I42:I141),0)</f>
        <v>1</v>
      </c>
      <c r="S11" s="7" t="s">
        <v>73</v>
      </c>
      <c r="T11" s="27">
        <v>2000000</v>
      </c>
      <c r="U11" s="16">
        <f>SUMPRODUCT(IFERROR((MONTH(L42:L141)=8)*(YEAR(L42:L141)=2026),0)*I42:I141)</f>
        <v>0</v>
      </c>
      <c r="V11" s="16">
        <f>SUMPRODUCT(IFERROR((MONTH(M42:M141)=8)*(YEAR(M42:M141)=2026),0)*I42:I141)</f>
        <v>0</v>
      </c>
    </row>
    <row r="12" spans="1:22" ht="14.4" customHeight="1">
      <c r="A12" s="15" t="s">
        <v>10</v>
      </c>
      <c r="B12" s="19">
        <f>COUNTIF(B42:B141,"Send PI")</f>
        <v>0</v>
      </c>
      <c r="C12" s="19">
        <f>SUMIF(B42:B141,"Send PI",I42:I141)</f>
        <v>0</v>
      </c>
      <c r="D12" s="37">
        <f>IFERROR(SUMIF(B42:B141,"Send PI",I42:I141)/SUM(I42:I141),0)</f>
        <v>0</v>
      </c>
      <c r="F12" s="15" t="s">
        <v>12</v>
      </c>
      <c r="G12" s="19">
        <f>COUNTIF(D42:D141,"Medium")</f>
        <v>0</v>
      </c>
      <c r="H12" s="19">
        <f>SUMIF(D42:D141,"Medium",I42:I141)</f>
        <v>0</v>
      </c>
      <c r="I12" s="37">
        <f>IFERROR(SUMIF(D42:D141,"Medium",I42:I141)/SUM(I42:I141),0)</f>
        <v>0</v>
      </c>
      <c r="S12" s="6" t="s">
        <v>74</v>
      </c>
      <c r="T12" s="26">
        <v>2000000</v>
      </c>
      <c r="U12" s="17">
        <f>SUMPRODUCT(IFERROR((MONTH(L42:L141)=9)*(YEAR(L42:L141)=2026),0)*I42:I141)</f>
        <v>0</v>
      </c>
      <c r="V12" s="17">
        <f>SUMPRODUCT(IFERROR((MONTH(M42:M141)=9)*(YEAR(M42:M141)=2026),0)*I42:I141)</f>
        <v>0</v>
      </c>
    </row>
    <row r="13" spans="1:22" ht="14.4" customHeight="1">
      <c r="A13" s="15" t="s">
        <v>14</v>
      </c>
      <c r="B13" s="19">
        <f>COUNTIF(B42:B141,"Negotiating")</f>
        <v>0</v>
      </c>
      <c r="C13" s="19">
        <f>SUMIF(B42:B141,"Negotiating",I42:I141)</f>
        <v>0</v>
      </c>
      <c r="D13" s="37">
        <f>IFERROR(SUMIF(B42:B141,"Negotiating",I42:I141)/SUM(I42:I141),0)</f>
        <v>0</v>
      </c>
      <c r="F13" s="15" t="s">
        <v>15</v>
      </c>
      <c r="G13" s="19">
        <f>COUNTIF(D42:D141,"Low")</f>
        <v>0</v>
      </c>
      <c r="H13" s="19">
        <f>SUMIF(D42:D141,"Low",I42:I141)</f>
        <v>0</v>
      </c>
      <c r="I13" s="37">
        <f>IFERROR(SUMIF(D42:D141,"Low",I42:I141)/SUM(I42:I141),0)</f>
        <v>0</v>
      </c>
      <c r="S13" s="7" t="s">
        <v>75</v>
      </c>
      <c r="T13" s="27">
        <v>2000000</v>
      </c>
      <c r="U13" s="16">
        <f>SUMPRODUCT(IFERROR((MONTH(L42:L141)=10)*(YEAR(L42:L141)=2026),0)*I42:I141)</f>
        <v>0</v>
      </c>
      <c r="V13" s="16">
        <f>SUMPRODUCT(IFERROR((MONTH(M42:M141)=10)*(YEAR(M42:M141)=2026),0)*I42:I141)</f>
        <v>0</v>
      </c>
    </row>
    <row r="14" spans="1:22" ht="14.4" customHeight="1">
      <c r="A14" s="15" t="s">
        <v>17</v>
      </c>
      <c r="B14" s="19">
        <f>COUNTIF(B42:B141,"Deal Signed")</f>
        <v>0</v>
      </c>
      <c r="C14" s="19">
        <f>SUMIF(B42:B141,"Deal Signed",I42:I141)</f>
        <v>0</v>
      </c>
      <c r="D14" s="37">
        <f>IFERROR(SUMIF(B42:B141,"Deal Signed",I42:I141)/SUM(I42:I141),0)</f>
        <v>0</v>
      </c>
      <c r="F14" s="63" t="s">
        <v>95</v>
      </c>
      <c r="G14" s="51"/>
      <c r="H14" s="51"/>
      <c r="I14" s="51"/>
      <c r="J14" s="51"/>
      <c r="K14" s="51"/>
      <c r="L14" s="65"/>
      <c r="M14" s="65"/>
      <c r="N14" s="51"/>
      <c r="O14" s="51"/>
      <c r="P14" s="51"/>
      <c r="S14" s="6" t="s">
        <v>76</v>
      </c>
      <c r="T14" s="26">
        <v>1500000</v>
      </c>
      <c r="U14" s="17">
        <f>SUMPRODUCT(IFERROR((MONTH(L42:L141)=11)*(YEAR(L42:L141)=2026),0)*I42:I141)</f>
        <v>0</v>
      </c>
      <c r="V14" s="17">
        <f>SUMPRODUCT(IFERROR((MONTH(M42:M141)=11)*(YEAR(M42:M141)=2026),0)*I42:I141)</f>
        <v>0</v>
      </c>
    </row>
    <row r="15" spans="1:22" ht="21.75" customHeight="1">
      <c r="A15" s="15" t="s">
        <v>19</v>
      </c>
      <c r="B15" s="19">
        <f>COUNTIF(B42:B141,"Delivered")</f>
        <v>8</v>
      </c>
      <c r="C15" s="19">
        <f>SUMIF(B42:B141,"Delivered",I42:I141)</f>
        <v>792955</v>
      </c>
      <c r="D15" s="37">
        <f>IFERROR(SUMIF(B42:B141,"Delivered",I42:I141)/SUM(I42:I141),0)</f>
        <v>1</v>
      </c>
      <c r="F15" s="61" t="str">
        <f ca="1">"Signed this month: "&amp;TEXT(SUMPRODUCT((B42:B141="Deal Signed")*IFERROR((MONTH(L42:L141)=MONTH(TODAY()))*(YEAR(L42:L141)=YEAR(TODAY())),0)*I42:I141)+SUMPRODUCT((B42:B141="Delivered")*IFERROR((MONTH(L42:L141)=MONTH(TODAY()))*(YEAR(L42:L141)=YEAR(TODAY())),0)*I42:I141),"#,##0")&amp;" THB  |  Target: "&amp;TEXT('⚙ Control Panel'!$A$23,"#,##0")&amp;" THB"</f>
        <v>Signed this month: 0 THB  |  Target: 3,000,000 THB</v>
      </c>
      <c r="G15" s="62"/>
      <c r="H15" s="62"/>
      <c r="I15" s="62"/>
      <c r="J15" s="62"/>
      <c r="K15" s="62"/>
      <c r="L15" s="62"/>
      <c r="M15" s="62"/>
      <c r="N15" s="62"/>
      <c r="O15" s="62"/>
      <c r="P15" s="62"/>
      <c r="S15" s="7" t="s">
        <v>77</v>
      </c>
      <c r="T15" s="27">
        <v>1500000</v>
      </c>
      <c r="U15" s="16">
        <f>SUMPRODUCT(IFERROR((MONTH(L42:L141)=12)*(YEAR(L42:L141)=2026),0)*I42:I141)</f>
        <v>0</v>
      </c>
      <c r="V15" s="16">
        <f>SUMPRODUCT(IFERROR((MONTH(M42:M141)=12)*(YEAR(M42:M141)=2026),0)*I42:I141)</f>
        <v>0</v>
      </c>
    </row>
    <row r="17" spans="1:16" ht="14.4" customHeight="1">
      <c r="A17" s="57" t="s">
        <v>96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65"/>
      <c r="M17" s="65"/>
      <c r="N17" s="51"/>
      <c r="O17" s="51"/>
      <c r="P17" s="51"/>
    </row>
    <row r="21" spans="1:16" ht="15.75" customHeight="1"/>
    <row r="22" spans="1:16" ht="15.75" customHeight="1"/>
    <row r="23" spans="1:16" ht="15.75" customHeight="1"/>
    <row r="24" spans="1:16" ht="15.75" customHeight="1"/>
    <row r="25" spans="1:16" ht="15.75" customHeight="1"/>
    <row r="26" spans="1:16" ht="15.75" customHeight="1"/>
    <row r="27" spans="1:16" ht="15.75" customHeight="1"/>
    <row r="28" spans="1:16" ht="15.75" customHeight="1"/>
    <row r="29" spans="1:16" ht="15.75" customHeight="1"/>
    <row r="30" spans="1:16" ht="15.75" customHeight="1"/>
    <row r="31" spans="1:16" ht="15.75" customHeight="1"/>
    <row r="32" spans="1:16" ht="15.75" customHeight="1"/>
    <row r="33" spans="1:17" ht="15.75" customHeight="1"/>
    <row r="34" spans="1:17" ht="15.75" customHeight="1"/>
    <row r="35" spans="1:17" ht="15.75" customHeight="1"/>
    <row r="36" spans="1:17" ht="15.75" customHeight="1"/>
    <row r="37" spans="1:17" ht="15.75" customHeight="1"/>
    <row r="38" spans="1:17" ht="15.75" customHeight="1"/>
    <row r="39" spans="1:17" ht="15.75" customHeight="1"/>
    <row r="40" spans="1:17" ht="6" customHeight="1"/>
    <row r="41" spans="1:17" ht="31.5" customHeight="1">
      <c r="A41" s="18" t="s">
        <v>97</v>
      </c>
      <c r="B41" s="18" t="s">
        <v>2</v>
      </c>
      <c r="C41" s="18" t="s">
        <v>3</v>
      </c>
      <c r="D41" s="18" t="s">
        <v>4</v>
      </c>
      <c r="E41" s="18" t="s">
        <v>98</v>
      </c>
      <c r="F41" s="18" t="s">
        <v>22</v>
      </c>
      <c r="G41" s="18" t="s">
        <v>23</v>
      </c>
      <c r="H41" s="18" t="s">
        <v>24</v>
      </c>
      <c r="I41" s="18" t="s">
        <v>99</v>
      </c>
      <c r="J41" s="18" t="s">
        <v>100</v>
      </c>
      <c r="K41" s="18" t="s">
        <v>101</v>
      </c>
      <c r="L41" s="33" t="s">
        <v>102</v>
      </c>
      <c r="M41" s="33" t="s">
        <v>103</v>
      </c>
      <c r="N41" s="18" t="s">
        <v>104</v>
      </c>
      <c r="O41" s="18" t="s">
        <v>105</v>
      </c>
      <c r="P41" s="18" t="s">
        <v>106</v>
      </c>
      <c r="Q41" s="18" t="s">
        <v>107</v>
      </c>
    </row>
    <row r="42" spans="1:17" ht="15.75" customHeight="1">
      <c r="A42" s="20" t="s">
        <v>371</v>
      </c>
      <c r="B42" s="21" t="s">
        <v>19</v>
      </c>
      <c r="C42" s="21" t="s">
        <v>7</v>
      </c>
      <c r="D42" s="21" t="s">
        <v>8</v>
      </c>
      <c r="E42" s="21" t="s">
        <v>25</v>
      </c>
      <c r="F42" s="21" t="s">
        <v>30</v>
      </c>
      <c r="G42" s="21" t="s">
        <v>31</v>
      </c>
      <c r="H42" s="21" t="s">
        <v>38</v>
      </c>
      <c r="I42" s="19">
        <v>126630</v>
      </c>
      <c r="J42" s="22">
        <v>1</v>
      </c>
      <c r="K42" s="19">
        <f t="shared" ref="K42:K73" si="0">IF(I42="",0,I42*J42)</f>
        <v>126630</v>
      </c>
      <c r="L42" s="34">
        <v>46021</v>
      </c>
      <c r="M42" s="34">
        <v>46053</v>
      </c>
      <c r="N42" s="48"/>
      <c r="O42" s="20"/>
      <c r="P42" s="20" t="s">
        <v>372</v>
      </c>
      <c r="Q42" t="s">
        <v>373</v>
      </c>
    </row>
    <row r="43" spans="1:17" ht="15.75" customHeight="1">
      <c r="A43" s="20" t="s">
        <v>374</v>
      </c>
      <c r="B43" s="21" t="s">
        <v>19</v>
      </c>
      <c r="C43" s="21" t="s">
        <v>11</v>
      </c>
      <c r="D43" s="21" t="s">
        <v>8</v>
      </c>
      <c r="E43" s="21" t="s">
        <v>29</v>
      </c>
      <c r="F43" s="21" t="s">
        <v>30</v>
      </c>
      <c r="G43" s="21" t="s">
        <v>31</v>
      </c>
      <c r="H43" s="21" t="s">
        <v>28</v>
      </c>
      <c r="I43" s="19">
        <v>93450</v>
      </c>
      <c r="J43" s="22">
        <v>1</v>
      </c>
      <c r="K43" s="19">
        <f t="shared" si="0"/>
        <v>93450</v>
      </c>
      <c r="L43" s="34">
        <v>46023</v>
      </c>
      <c r="M43" s="34">
        <v>46049</v>
      </c>
      <c r="N43" s="48"/>
      <c r="O43" s="20"/>
      <c r="P43" s="20" t="s">
        <v>375</v>
      </c>
      <c r="Q43" t="s">
        <v>376</v>
      </c>
    </row>
    <row r="44" spans="1:17" ht="15.75" customHeight="1">
      <c r="A44" s="20" t="s">
        <v>377</v>
      </c>
      <c r="B44" s="21" t="s">
        <v>19</v>
      </c>
      <c r="C44" s="21" t="s">
        <v>11</v>
      </c>
      <c r="D44" s="21" t="s">
        <v>8</v>
      </c>
      <c r="E44" s="21" t="s">
        <v>33</v>
      </c>
      <c r="F44" s="21" t="s">
        <v>37</v>
      </c>
      <c r="G44" s="21" t="s">
        <v>31</v>
      </c>
      <c r="H44" s="21" t="s">
        <v>36</v>
      </c>
      <c r="I44" s="19">
        <v>210000</v>
      </c>
      <c r="J44" s="22">
        <v>1</v>
      </c>
      <c r="K44" s="19">
        <f t="shared" si="0"/>
        <v>210000</v>
      </c>
      <c r="L44" s="34">
        <v>46016</v>
      </c>
      <c r="M44" s="34">
        <v>46048</v>
      </c>
      <c r="N44" s="48"/>
      <c r="O44" s="20"/>
      <c r="P44" s="20" t="s">
        <v>378</v>
      </c>
      <c r="Q44" t="s">
        <v>379</v>
      </c>
    </row>
    <row r="45" spans="1:17" ht="15.75" customHeight="1">
      <c r="A45" s="20" t="s">
        <v>380</v>
      </c>
      <c r="B45" s="21" t="s">
        <v>19</v>
      </c>
      <c r="C45" s="21" t="s">
        <v>11</v>
      </c>
      <c r="D45" s="21" t="s">
        <v>8</v>
      </c>
      <c r="E45" s="21" t="s">
        <v>29</v>
      </c>
      <c r="F45" s="21" t="s">
        <v>30</v>
      </c>
      <c r="G45" s="21" t="s">
        <v>31</v>
      </c>
      <c r="H45" s="21" t="s">
        <v>28</v>
      </c>
      <c r="I45" s="19">
        <v>254165</v>
      </c>
      <c r="J45" s="22">
        <v>1</v>
      </c>
      <c r="K45" s="19">
        <f t="shared" si="0"/>
        <v>254165</v>
      </c>
      <c r="L45" s="34">
        <v>45976</v>
      </c>
      <c r="M45" s="34">
        <v>46049</v>
      </c>
      <c r="N45" s="48"/>
      <c r="O45" s="20"/>
      <c r="P45" s="20" t="s">
        <v>381</v>
      </c>
      <c r="Q45" t="s">
        <v>382</v>
      </c>
    </row>
    <row r="46" spans="1:17" ht="15.75" customHeight="1">
      <c r="A46" s="20" t="s">
        <v>383</v>
      </c>
      <c r="B46" s="21" t="s">
        <v>19</v>
      </c>
      <c r="C46" s="21" t="s">
        <v>7</v>
      </c>
      <c r="D46" s="21" t="s">
        <v>8</v>
      </c>
      <c r="E46" s="21" t="s">
        <v>25</v>
      </c>
      <c r="F46" s="21" t="s">
        <v>30</v>
      </c>
      <c r="G46" s="21" t="s">
        <v>31</v>
      </c>
      <c r="H46" s="21" t="s">
        <v>36</v>
      </c>
      <c r="I46" s="19">
        <v>75000</v>
      </c>
      <c r="J46" s="22">
        <v>1</v>
      </c>
      <c r="K46" s="19">
        <f t="shared" si="0"/>
        <v>75000</v>
      </c>
      <c r="L46" s="34">
        <v>46057</v>
      </c>
      <c r="M46" s="34">
        <v>46066</v>
      </c>
      <c r="N46" s="48"/>
      <c r="O46" s="20"/>
      <c r="P46" s="20"/>
      <c r="Q46" t="s">
        <v>384</v>
      </c>
    </row>
    <row r="47" spans="1:17" ht="15.75" customHeight="1">
      <c r="A47" s="20" t="s">
        <v>385</v>
      </c>
      <c r="B47" s="21" t="s">
        <v>19</v>
      </c>
      <c r="C47" s="21" t="s">
        <v>11</v>
      </c>
      <c r="D47" s="21" t="s">
        <v>8</v>
      </c>
      <c r="E47" s="21" t="s">
        <v>25</v>
      </c>
      <c r="F47" s="21" t="s">
        <v>30</v>
      </c>
      <c r="G47" s="21" t="s">
        <v>31</v>
      </c>
      <c r="H47" s="21" t="s">
        <v>28</v>
      </c>
      <c r="I47" s="19">
        <v>25275</v>
      </c>
      <c r="J47" s="22">
        <v>1</v>
      </c>
      <c r="K47" s="19">
        <f t="shared" si="0"/>
        <v>25275</v>
      </c>
      <c r="L47" s="34">
        <v>46043</v>
      </c>
      <c r="M47" s="34">
        <v>46073</v>
      </c>
      <c r="N47" s="48"/>
      <c r="O47" s="20"/>
      <c r="P47" s="20" t="s">
        <v>386</v>
      </c>
      <c r="Q47" t="s">
        <v>387</v>
      </c>
    </row>
    <row r="48" spans="1:17" ht="15.75" customHeight="1">
      <c r="A48" s="20" t="s">
        <v>388</v>
      </c>
      <c r="B48" s="21" t="s">
        <v>19</v>
      </c>
      <c r="C48" s="21" t="s">
        <v>11</v>
      </c>
      <c r="D48" s="21" t="s">
        <v>8</v>
      </c>
      <c r="E48" s="21" t="s">
        <v>29</v>
      </c>
      <c r="F48" s="21" t="s">
        <v>30</v>
      </c>
      <c r="G48" s="21" t="s">
        <v>31</v>
      </c>
      <c r="H48" s="21" t="s">
        <v>32</v>
      </c>
      <c r="I48" s="19">
        <v>5540</v>
      </c>
      <c r="J48" s="22">
        <v>1</v>
      </c>
      <c r="K48" s="19">
        <f t="shared" si="0"/>
        <v>5540</v>
      </c>
      <c r="L48" s="34">
        <v>46055</v>
      </c>
      <c r="M48" s="34">
        <v>46063</v>
      </c>
      <c r="N48" s="48"/>
      <c r="O48" s="20"/>
      <c r="P48" s="20"/>
      <c r="Q48" t="s">
        <v>389</v>
      </c>
    </row>
    <row r="49" spans="1:17" ht="15.75" customHeight="1">
      <c r="A49" s="20" t="s">
        <v>390</v>
      </c>
      <c r="B49" s="21" t="s">
        <v>19</v>
      </c>
      <c r="C49" s="21" t="s">
        <v>11</v>
      </c>
      <c r="D49" s="21" t="s">
        <v>8</v>
      </c>
      <c r="E49" s="21" t="s">
        <v>29</v>
      </c>
      <c r="F49" s="21" t="s">
        <v>30</v>
      </c>
      <c r="G49" s="21" t="s">
        <v>31</v>
      </c>
      <c r="H49" s="21" t="s">
        <v>28</v>
      </c>
      <c r="I49" s="19">
        <v>2895</v>
      </c>
      <c r="J49" s="22">
        <v>1</v>
      </c>
      <c r="K49" s="19">
        <f t="shared" si="0"/>
        <v>2895</v>
      </c>
      <c r="L49" s="34"/>
      <c r="M49" s="34"/>
      <c r="N49" s="48"/>
      <c r="O49" s="20"/>
      <c r="P49" s="20"/>
      <c r="Q49" t="s">
        <v>391</v>
      </c>
    </row>
    <row r="50" spans="1:17" ht="15.75" customHeight="1">
      <c r="A50" s="20" t="s">
        <v>392</v>
      </c>
      <c r="B50" s="21"/>
      <c r="C50" s="21"/>
      <c r="D50" s="21"/>
      <c r="E50" s="21"/>
      <c r="F50" s="21"/>
      <c r="G50" s="21"/>
      <c r="H50" s="21"/>
      <c r="I50" s="19"/>
      <c r="J50" s="22"/>
      <c r="K50" s="19">
        <f t="shared" si="0"/>
        <v>0</v>
      </c>
      <c r="L50" s="34"/>
      <c r="M50" s="34"/>
      <c r="N50" s="48"/>
      <c r="O50" s="20"/>
      <c r="P50" s="20"/>
    </row>
    <row r="51" spans="1:17" ht="15.75" customHeight="1">
      <c r="A51" s="20" t="s">
        <v>393</v>
      </c>
      <c r="B51" s="21"/>
      <c r="C51" s="21"/>
      <c r="D51" s="21"/>
      <c r="E51" s="21"/>
      <c r="F51" s="21"/>
      <c r="G51" s="21"/>
      <c r="H51" s="21"/>
      <c r="I51" s="19"/>
      <c r="J51" s="22"/>
      <c r="K51" s="19">
        <f t="shared" si="0"/>
        <v>0</v>
      </c>
      <c r="L51" s="34"/>
      <c r="M51" s="34"/>
      <c r="N51" s="48"/>
      <c r="O51" s="20"/>
      <c r="P51" s="20"/>
    </row>
    <row r="52" spans="1:17" ht="15.75" customHeight="1">
      <c r="A52" s="20" t="s">
        <v>394</v>
      </c>
      <c r="B52" s="21"/>
      <c r="C52" s="21"/>
      <c r="D52" s="21"/>
      <c r="E52" s="21"/>
      <c r="F52" s="21"/>
      <c r="G52" s="21"/>
      <c r="H52" s="21"/>
      <c r="I52" s="19"/>
      <c r="J52" s="22"/>
      <c r="K52" s="19">
        <f t="shared" si="0"/>
        <v>0</v>
      </c>
      <c r="L52" s="35"/>
      <c r="M52" s="35"/>
      <c r="N52" s="48"/>
      <c r="O52" s="20"/>
      <c r="P52" s="20"/>
    </row>
    <row r="53" spans="1:17" ht="15.75" customHeight="1">
      <c r="A53" s="20" t="s">
        <v>395</v>
      </c>
      <c r="B53" s="21"/>
      <c r="C53" s="21"/>
      <c r="D53" s="21"/>
      <c r="E53" s="21"/>
      <c r="F53" s="21"/>
      <c r="G53" s="21"/>
      <c r="H53" s="21"/>
      <c r="I53" s="19"/>
      <c r="J53" s="22"/>
      <c r="K53" s="19">
        <f t="shared" si="0"/>
        <v>0</v>
      </c>
      <c r="L53" s="35"/>
      <c r="M53" s="35"/>
      <c r="N53" s="48"/>
      <c r="O53" s="20"/>
      <c r="P53" s="20"/>
    </row>
    <row r="54" spans="1:17" ht="15.75" customHeight="1">
      <c r="A54" s="20" t="s">
        <v>396</v>
      </c>
      <c r="B54" s="21"/>
      <c r="C54" s="21"/>
      <c r="D54" s="21"/>
      <c r="E54" s="21"/>
      <c r="F54" s="21"/>
      <c r="G54" s="21"/>
      <c r="H54" s="21"/>
      <c r="I54" s="19"/>
      <c r="J54" s="22"/>
      <c r="K54" s="19">
        <f t="shared" si="0"/>
        <v>0</v>
      </c>
      <c r="L54" s="35"/>
      <c r="M54" s="35"/>
      <c r="N54" s="48"/>
      <c r="O54" s="20"/>
      <c r="P54" s="20"/>
    </row>
    <row r="55" spans="1:17" ht="15.75" customHeight="1">
      <c r="A55" s="20" t="s">
        <v>397</v>
      </c>
      <c r="B55" s="21"/>
      <c r="C55" s="21"/>
      <c r="D55" s="21"/>
      <c r="E55" s="21"/>
      <c r="F55" s="21"/>
      <c r="G55" s="21"/>
      <c r="H55" s="21"/>
      <c r="I55" s="19"/>
      <c r="J55" s="22"/>
      <c r="K55" s="19">
        <f t="shared" si="0"/>
        <v>0</v>
      </c>
      <c r="L55" s="35"/>
      <c r="M55" s="35"/>
      <c r="N55" s="48"/>
      <c r="O55" s="20"/>
      <c r="P55" s="20"/>
    </row>
    <row r="56" spans="1:17" ht="15.75" customHeight="1">
      <c r="A56" s="20" t="s">
        <v>398</v>
      </c>
      <c r="B56" s="21"/>
      <c r="C56" s="21"/>
      <c r="D56" s="21"/>
      <c r="E56" s="21"/>
      <c r="F56" s="21"/>
      <c r="G56" s="21"/>
      <c r="H56" s="21"/>
      <c r="I56" s="19"/>
      <c r="J56" s="22"/>
      <c r="K56" s="19">
        <f t="shared" si="0"/>
        <v>0</v>
      </c>
      <c r="L56" s="35"/>
      <c r="M56" s="35"/>
      <c r="N56" s="48"/>
      <c r="O56" s="20"/>
      <c r="P56" s="20"/>
    </row>
    <row r="57" spans="1:17" ht="15.75" customHeight="1">
      <c r="A57" s="20" t="s">
        <v>399</v>
      </c>
      <c r="B57" s="21"/>
      <c r="C57" s="21"/>
      <c r="D57" s="21"/>
      <c r="E57" s="21"/>
      <c r="F57" s="21"/>
      <c r="G57" s="21"/>
      <c r="H57" s="21"/>
      <c r="I57" s="19"/>
      <c r="J57" s="22"/>
      <c r="K57" s="19">
        <f t="shared" si="0"/>
        <v>0</v>
      </c>
      <c r="L57" s="35"/>
      <c r="M57" s="35"/>
      <c r="N57" s="48"/>
      <c r="O57" s="20"/>
      <c r="P57" s="20"/>
    </row>
    <row r="58" spans="1:17" ht="15.75" customHeight="1">
      <c r="A58" s="20"/>
      <c r="B58" s="21"/>
      <c r="C58" s="21"/>
      <c r="D58" s="21"/>
      <c r="E58" s="21"/>
      <c r="F58" s="21"/>
      <c r="G58" s="21"/>
      <c r="H58" s="21"/>
      <c r="I58" s="19"/>
      <c r="J58" s="22"/>
      <c r="K58" s="19">
        <f t="shared" si="0"/>
        <v>0</v>
      </c>
      <c r="L58" s="35"/>
      <c r="M58" s="35"/>
      <c r="N58" s="48"/>
      <c r="O58" s="20"/>
      <c r="P58" s="20"/>
    </row>
    <row r="59" spans="1:17" ht="15.75" customHeight="1">
      <c r="A59" s="20"/>
      <c r="B59" s="21"/>
      <c r="C59" s="21"/>
      <c r="D59" s="21"/>
      <c r="E59" s="21"/>
      <c r="F59" s="21"/>
      <c r="G59" s="21"/>
      <c r="H59" s="21"/>
      <c r="I59" s="19"/>
      <c r="J59" s="22"/>
      <c r="K59" s="19">
        <f t="shared" si="0"/>
        <v>0</v>
      </c>
      <c r="L59" s="35"/>
      <c r="M59" s="35"/>
      <c r="N59" s="48"/>
      <c r="O59" s="20"/>
      <c r="P59" s="20"/>
    </row>
    <row r="60" spans="1:17" ht="15.75" customHeight="1">
      <c r="A60" s="20"/>
      <c r="B60" s="21"/>
      <c r="C60" s="21"/>
      <c r="D60" s="21"/>
      <c r="E60" s="21"/>
      <c r="F60" s="21"/>
      <c r="G60" s="21"/>
      <c r="H60" s="21"/>
      <c r="I60" s="19"/>
      <c r="J60" s="22"/>
      <c r="K60" s="19">
        <f t="shared" si="0"/>
        <v>0</v>
      </c>
      <c r="L60" s="35"/>
      <c r="M60" s="35"/>
      <c r="N60" s="48"/>
      <c r="O60" s="20"/>
      <c r="P60" s="20"/>
    </row>
    <row r="61" spans="1:17" ht="15.75" customHeight="1">
      <c r="A61" s="20"/>
      <c r="B61" s="21"/>
      <c r="C61" s="21"/>
      <c r="D61" s="21"/>
      <c r="E61" s="21"/>
      <c r="F61" s="21"/>
      <c r="G61" s="21"/>
      <c r="H61" s="21"/>
      <c r="I61" s="19"/>
      <c r="J61" s="22"/>
      <c r="K61" s="19">
        <f t="shared" si="0"/>
        <v>0</v>
      </c>
      <c r="L61" s="35"/>
      <c r="M61" s="35"/>
      <c r="N61" s="48"/>
      <c r="O61" s="20"/>
      <c r="P61" s="20"/>
    </row>
    <row r="62" spans="1:17" ht="15.75" customHeight="1">
      <c r="A62" s="20"/>
      <c r="B62" s="21"/>
      <c r="C62" s="21"/>
      <c r="D62" s="21"/>
      <c r="E62" s="21"/>
      <c r="F62" s="21"/>
      <c r="G62" s="21"/>
      <c r="H62" s="21"/>
      <c r="I62" s="19"/>
      <c r="J62" s="22"/>
      <c r="K62" s="19">
        <f t="shared" si="0"/>
        <v>0</v>
      </c>
      <c r="L62" s="35"/>
      <c r="M62" s="35"/>
      <c r="N62" s="48"/>
      <c r="O62" s="20"/>
      <c r="P62" s="20"/>
    </row>
    <row r="63" spans="1:17" ht="15.75" customHeight="1">
      <c r="A63" s="20"/>
      <c r="B63" s="21"/>
      <c r="C63" s="21"/>
      <c r="D63" s="21"/>
      <c r="E63" s="21"/>
      <c r="F63" s="21"/>
      <c r="G63" s="21"/>
      <c r="H63" s="21"/>
      <c r="I63" s="19"/>
      <c r="J63" s="22"/>
      <c r="K63" s="19">
        <f t="shared" si="0"/>
        <v>0</v>
      </c>
      <c r="L63" s="35"/>
      <c r="M63" s="35"/>
      <c r="N63" s="48"/>
      <c r="O63" s="20"/>
      <c r="P63" s="20"/>
    </row>
    <row r="64" spans="1:17" ht="15.75" customHeight="1">
      <c r="A64" s="20"/>
      <c r="B64" s="21"/>
      <c r="C64" s="21"/>
      <c r="D64" s="21"/>
      <c r="E64" s="21"/>
      <c r="F64" s="21"/>
      <c r="G64" s="21"/>
      <c r="H64" s="21"/>
      <c r="I64" s="19"/>
      <c r="J64" s="22"/>
      <c r="K64" s="19">
        <f t="shared" si="0"/>
        <v>0</v>
      </c>
      <c r="L64" s="35"/>
      <c r="M64" s="35"/>
      <c r="N64" s="48"/>
      <c r="O64" s="20"/>
      <c r="P64" s="20"/>
    </row>
    <row r="65" spans="1:16" ht="15.75" customHeight="1">
      <c r="A65" s="20"/>
      <c r="B65" s="21"/>
      <c r="C65" s="21"/>
      <c r="D65" s="21"/>
      <c r="E65" s="21"/>
      <c r="F65" s="21"/>
      <c r="G65" s="21"/>
      <c r="H65" s="21"/>
      <c r="I65" s="19"/>
      <c r="J65" s="22"/>
      <c r="K65" s="19">
        <f t="shared" si="0"/>
        <v>0</v>
      </c>
      <c r="L65" s="35"/>
      <c r="M65" s="35"/>
      <c r="N65" s="48"/>
      <c r="O65" s="20"/>
      <c r="P65" s="20"/>
    </row>
    <row r="66" spans="1:16" ht="15.75" customHeight="1">
      <c r="A66" s="20"/>
      <c r="B66" s="21"/>
      <c r="C66" s="21"/>
      <c r="D66" s="21"/>
      <c r="E66" s="21"/>
      <c r="F66" s="21"/>
      <c r="G66" s="21"/>
      <c r="H66" s="21"/>
      <c r="I66" s="19"/>
      <c r="J66" s="22"/>
      <c r="K66" s="19">
        <f t="shared" si="0"/>
        <v>0</v>
      </c>
      <c r="L66" s="35"/>
      <c r="M66" s="35"/>
      <c r="N66" s="48"/>
      <c r="O66" s="20"/>
      <c r="P66" s="20"/>
    </row>
    <row r="67" spans="1:16" ht="15.75" customHeight="1">
      <c r="A67" s="20"/>
      <c r="B67" s="21"/>
      <c r="C67" s="21"/>
      <c r="D67" s="21"/>
      <c r="E67" s="21"/>
      <c r="F67" s="21"/>
      <c r="G67" s="21"/>
      <c r="H67" s="21"/>
      <c r="I67" s="19"/>
      <c r="J67" s="22"/>
      <c r="K67" s="19">
        <f t="shared" si="0"/>
        <v>0</v>
      </c>
      <c r="L67" s="35"/>
      <c r="M67" s="35"/>
      <c r="N67" s="48"/>
      <c r="O67" s="20"/>
      <c r="P67" s="20"/>
    </row>
    <row r="68" spans="1:16" ht="15.75" customHeight="1">
      <c r="A68" s="20"/>
      <c r="B68" s="21"/>
      <c r="C68" s="21"/>
      <c r="D68" s="21"/>
      <c r="E68" s="21"/>
      <c r="F68" s="21"/>
      <c r="G68" s="21"/>
      <c r="H68" s="21"/>
      <c r="I68" s="19"/>
      <c r="J68" s="22"/>
      <c r="K68" s="19">
        <f t="shared" si="0"/>
        <v>0</v>
      </c>
      <c r="L68" s="35"/>
      <c r="M68" s="35"/>
      <c r="N68" s="48"/>
      <c r="O68" s="20"/>
      <c r="P68" s="20"/>
    </row>
    <row r="69" spans="1:16" ht="15.75" customHeight="1">
      <c r="A69" s="20"/>
      <c r="B69" s="21"/>
      <c r="C69" s="21"/>
      <c r="D69" s="21"/>
      <c r="E69" s="21"/>
      <c r="F69" s="21"/>
      <c r="G69" s="21"/>
      <c r="H69" s="21"/>
      <c r="I69" s="19"/>
      <c r="J69" s="22"/>
      <c r="K69" s="19">
        <f t="shared" si="0"/>
        <v>0</v>
      </c>
      <c r="L69" s="35"/>
      <c r="M69" s="35"/>
      <c r="N69" s="48"/>
      <c r="O69" s="20"/>
      <c r="P69" s="20"/>
    </row>
    <row r="70" spans="1:16" ht="15.75" customHeight="1">
      <c r="A70" s="20"/>
      <c r="B70" s="21"/>
      <c r="C70" s="21"/>
      <c r="D70" s="21"/>
      <c r="E70" s="21"/>
      <c r="F70" s="21"/>
      <c r="G70" s="21"/>
      <c r="H70" s="21"/>
      <c r="I70" s="19"/>
      <c r="J70" s="22"/>
      <c r="K70" s="19">
        <f t="shared" si="0"/>
        <v>0</v>
      </c>
      <c r="L70" s="35"/>
      <c r="M70" s="35"/>
      <c r="N70" s="48"/>
      <c r="O70" s="20"/>
      <c r="P70" s="20"/>
    </row>
    <row r="71" spans="1:16" ht="15.75" customHeight="1">
      <c r="A71" s="20"/>
      <c r="B71" s="21"/>
      <c r="C71" s="21"/>
      <c r="D71" s="21"/>
      <c r="E71" s="21"/>
      <c r="F71" s="21"/>
      <c r="G71" s="21"/>
      <c r="H71" s="21"/>
      <c r="I71" s="19"/>
      <c r="J71" s="22"/>
      <c r="K71" s="19">
        <f t="shared" si="0"/>
        <v>0</v>
      </c>
      <c r="L71" s="35"/>
      <c r="M71" s="35"/>
      <c r="N71" s="48"/>
      <c r="O71" s="20"/>
      <c r="P71" s="20"/>
    </row>
    <row r="72" spans="1:16" ht="15.75" customHeight="1">
      <c r="A72" s="20"/>
      <c r="B72" s="21"/>
      <c r="C72" s="21"/>
      <c r="D72" s="21"/>
      <c r="E72" s="21"/>
      <c r="F72" s="21"/>
      <c r="G72" s="21"/>
      <c r="H72" s="21"/>
      <c r="I72" s="19"/>
      <c r="J72" s="22"/>
      <c r="K72" s="19">
        <f t="shared" si="0"/>
        <v>0</v>
      </c>
      <c r="L72" s="35"/>
      <c r="M72" s="35"/>
      <c r="N72" s="48"/>
      <c r="O72" s="20"/>
      <c r="P72" s="20"/>
    </row>
    <row r="73" spans="1:16" ht="15.75" customHeight="1">
      <c r="A73" s="20"/>
      <c r="B73" s="21"/>
      <c r="C73" s="21"/>
      <c r="D73" s="21"/>
      <c r="E73" s="21"/>
      <c r="F73" s="21"/>
      <c r="G73" s="21"/>
      <c r="H73" s="21"/>
      <c r="I73" s="19"/>
      <c r="J73" s="22"/>
      <c r="K73" s="19">
        <f t="shared" si="0"/>
        <v>0</v>
      </c>
      <c r="L73" s="35"/>
      <c r="M73" s="35"/>
      <c r="N73" s="48"/>
      <c r="O73" s="20"/>
      <c r="P73" s="20"/>
    </row>
    <row r="74" spans="1:16" ht="15.75" customHeight="1">
      <c r="A74" s="20"/>
      <c r="B74" s="21"/>
      <c r="C74" s="21"/>
      <c r="D74" s="21"/>
      <c r="E74" s="21"/>
      <c r="F74" s="21"/>
      <c r="G74" s="21"/>
      <c r="H74" s="21"/>
      <c r="I74" s="19"/>
      <c r="J74" s="22"/>
      <c r="K74" s="19">
        <f t="shared" ref="K74:K105" si="1">IF(I74="",0,I74*J74)</f>
        <v>0</v>
      </c>
      <c r="L74" s="35"/>
      <c r="M74" s="35"/>
      <c r="N74" s="48"/>
      <c r="O74" s="20"/>
      <c r="P74" s="20"/>
    </row>
    <row r="75" spans="1:16" ht="15.75" customHeight="1">
      <c r="A75" s="20"/>
      <c r="B75" s="21"/>
      <c r="C75" s="21"/>
      <c r="D75" s="21"/>
      <c r="E75" s="21"/>
      <c r="F75" s="21"/>
      <c r="G75" s="21"/>
      <c r="H75" s="21"/>
      <c r="I75" s="19"/>
      <c r="J75" s="22"/>
      <c r="K75" s="19">
        <f t="shared" si="1"/>
        <v>0</v>
      </c>
      <c r="L75" s="35"/>
      <c r="M75" s="35"/>
      <c r="N75" s="48"/>
      <c r="O75" s="20"/>
      <c r="P75" s="20"/>
    </row>
    <row r="76" spans="1:16" ht="15.75" customHeight="1">
      <c r="A76" s="20"/>
      <c r="B76" s="21"/>
      <c r="C76" s="21"/>
      <c r="D76" s="21"/>
      <c r="E76" s="21"/>
      <c r="F76" s="21"/>
      <c r="G76" s="21"/>
      <c r="H76" s="21"/>
      <c r="I76" s="19"/>
      <c r="J76" s="22"/>
      <c r="K76" s="19">
        <f t="shared" si="1"/>
        <v>0</v>
      </c>
      <c r="L76" s="35"/>
      <c r="M76" s="35"/>
      <c r="N76" s="48"/>
      <c r="O76" s="20"/>
      <c r="P76" s="20"/>
    </row>
    <row r="77" spans="1:16" ht="15.75" customHeight="1">
      <c r="A77" s="20"/>
      <c r="B77" s="21"/>
      <c r="C77" s="21"/>
      <c r="D77" s="21"/>
      <c r="E77" s="21"/>
      <c r="F77" s="21"/>
      <c r="G77" s="21"/>
      <c r="H77" s="21"/>
      <c r="I77" s="19"/>
      <c r="J77" s="22"/>
      <c r="K77" s="19">
        <f t="shared" si="1"/>
        <v>0</v>
      </c>
      <c r="L77" s="35"/>
      <c r="M77" s="35"/>
      <c r="N77" s="48"/>
      <c r="O77" s="20"/>
      <c r="P77" s="20"/>
    </row>
    <row r="78" spans="1:16" ht="15.75" customHeight="1">
      <c r="A78" s="20"/>
      <c r="B78" s="21"/>
      <c r="C78" s="21"/>
      <c r="D78" s="21"/>
      <c r="E78" s="21"/>
      <c r="F78" s="21"/>
      <c r="G78" s="21"/>
      <c r="H78" s="21"/>
      <c r="I78" s="19"/>
      <c r="J78" s="22"/>
      <c r="K78" s="19">
        <f t="shared" si="1"/>
        <v>0</v>
      </c>
      <c r="L78" s="35"/>
      <c r="M78" s="35"/>
      <c r="N78" s="48"/>
      <c r="O78" s="20"/>
      <c r="P78" s="20"/>
    </row>
    <row r="79" spans="1:16" ht="15.75" customHeight="1">
      <c r="A79" s="20"/>
      <c r="B79" s="21"/>
      <c r="C79" s="21"/>
      <c r="D79" s="21"/>
      <c r="E79" s="21"/>
      <c r="F79" s="21"/>
      <c r="G79" s="21"/>
      <c r="H79" s="21"/>
      <c r="I79" s="19"/>
      <c r="J79" s="22"/>
      <c r="K79" s="19">
        <f t="shared" si="1"/>
        <v>0</v>
      </c>
      <c r="L79" s="35"/>
      <c r="M79" s="35"/>
      <c r="N79" s="48"/>
      <c r="O79" s="20"/>
      <c r="P79" s="20"/>
    </row>
    <row r="80" spans="1:16" ht="15.75" customHeight="1">
      <c r="A80" s="20"/>
      <c r="B80" s="21"/>
      <c r="C80" s="21"/>
      <c r="D80" s="21"/>
      <c r="E80" s="21"/>
      <c r="F80" s="21"/>
      <c r="G80" s="21"/>
      <c r="H80" s="21"/>
      <c r="I80" s="19"/>
      <c r="J80" s="22"/>
      <c r="K80" s="19">
        <f t="shared" si="1"/>
        <v>0</v>
      </c>
      <c r="L80" s="35"/>
      <c r="M80" s="35"/>
      <c r="N80" s="48"/>
      <c r="O80" s="20"/>
      <c r="P80" s="20"/>
    </row>
    <row r="81" spans="1:16" ht="15.75" customHeight="1">
      <c r="A81" s="20"/>
      <c r="B81" s="21"/>
      <c r="C81" s="21"/>
      <c r="D81" s="21"/>
      <c r="E81" s="21"/>
      <c r="F81" s="21"/>
      <c r="G81" s="21"/>
      <c r="H81" s="21"/>
      <c r="I81" s="19"/>
      <c r="J81" s="22"/>
      <c r="K81" s="19">
        <f t="shared" si="1"/>
        <v>0</v>
      </c>
      <c r="L81" s="35"/>
      <c r="M81" s="35"/>
      <c r="N81" s="48"/>
      <c r="O81" s="20"/>
      <c r="P81" s="20"/>
    </row>
    <row r="82" spans="1:16" ht="15.75" customHeight="1">
      <c r="A82" s="20"/>
      <c r="B82" s="21"/>
      <c r="C82" s="21"/>
      <c r="D82" s="21"/>
      <c r="E82" s="21"/>
      <c r="F82" s="21"/>
      <c r="G82" s="21"/>
      <c r="H82" s="21"/>
      <c r="I82" s="19"/>
      <c r="J82" s="22"/>
      <c r="K82" s="19">
        <f t="shared" si="1"/>
        <v>0</v>
      </c>
      <c r="L82" s="35"/>
      <c r="M82" s="35"/>
      <c r="N82" s="48"/>
      <c r="O82" s="20"/>
      <c r="P82" s="20"/>
    </row>
    <row r="83" spans="1:16" ht="15.75" customHeight="1">
      <c r="A83" s="20"/>
      <c r="B83" s="21"/>
      <c r="C83" s="21"/>
      <c r="D83" s="21"/>
      <c r="E83" s="21"/>
      <c r="F83" s="21"/>
      <c r="G83" s="21"/>
      <c r="H83" s="21"/>
      <c r="I83" s="19"/>
      <c r="J83" s="22"/>
      <c r="K83" s="19">
        <f t="shared" si="1"/>
        <v>0</v>
      </c>
      <c r="L83" s="35"/>
      <c r="M83" s="35"/>
      <c r="N83" s="48"/>
      <c r="O83" s="20"/>
      <c r="P83" s="20"/>
    </row>
    <row r="84" spans="1:16" ht="15.75" customHeight="1">
      <c r="A84" s="20"/>
      <c r="B84" s="21"/>
      <c r="C84" s="21"/>
      <c r="D84" s="21"/>
      <c r="E84" s="21"/>
      <c r="F84" s="21"/>
      <c r="G84" s="21"/>
      <c r="H84" s="21"/>
      <c r="I84" s="19"/>
      <c r="J84" s="22"/>
      <c r="K84" s="19">
        <f t="shared" si="1"/>
        <v>0</v>
      </c>
      <c r="L84" s="35"/>
      <c r="M84" s="35"/>
      <c r="N84" s="48"/>
      <c r="O84" s="20"/>
      <c r="P84" s="20"/>
    </row>
    <row r="85" spans="1:16" ht="15.75" customHeight="1">
      <c r="A85" s="20"/>
      <c r="B85" s="21"/>
      <c r="C85" s="21"/>
      <c r="D85" s="21"/>
      <c r="E85" s="21"/>
      <c r="F85" s="21"/>
      <c r="G85" s="21"/>
      <c r="H85" s="21"/>
      <c r="I85" s="19"/>
      <c r="J85" s="22"/>
      <c r="K85" s="19">
        <f t="shared" si="1"/>
        <v>0</v>
      </c>
      <c r="L85" s="35"/>
      <c r="M85" s="35"/>
      <c r="N85" s="48"/>
      <c r="O85" s="20"/>
      <c r="P85" s="20"/>
    </row>
    <row r="86" spans="1:16" ht="15.75" customHeight="1">
      <c r="A86" s="20"/>
      <c r="B86" s="21"/>
      <c r="C86" s="21"/>
      <c r="D86" s="21"/>
      <c r="E86" s="21"/>
      <c r="F86" s="21"/>
      <c r="G86" s="21"/>
      <c r="H86" s="21"/>
      <c r="I86" s="19"/>
      <c r="J86" s="22"/>
      <c r="K86" s="19">
        <f t="shared" si="1"/>
        <v>0</v>
      </c>
      <c r="L86" s="35"/>
      <c r="M86" s="35"/>
      <c r="N86" s="48"/>
      <c r="O86" s="20"/>
      <c r="P86" s="20"/>
    </row>
    <row r="87" spans="1:16" ht="15.75" customHeight="1">
      <c r="A87" s="20"/>
      <c r="B87" s="21"/>
      <c r="C87" s="21"/>
      <c r="D87" s="21"/>
      <c r="E87" s="21"/>
      <c r="F87" s="21"/>
      <c r="G87" s="21"/>
      <c r="H87" s="21"/>
      <c r="I87" s="19"/>
      <c r="J87" s="22"/>
      <c r="K87" s="19">
        <f t="shared" si="1"/>
        <v>0</v>
      </c>
      <c r="L87" s="35"/>
      <c r="M87" s="35"/>
      <c r="N87" s="48"/>
      <c r="O87" s="20"/>
      <c r="P87" s="20"/>
    </row>
    <row r="88" spans="1:16" ht="15.75" customHeight="1">
      <c r="A88" s="20"/>
      <c r="B88" s="21"/>
      <c r="C88" s="21"/>
      <c r="D88" s="21"/>
      <c r="E88" s="21"/>
      <c r="F88" s="21"/>
      <c r="G88" s="21"/>
      <c r="H88" s="21"/>
      <c r="I88" s="19"/>
      <c r="J88" s="22"/>
      <c r="K88" s="19">
        <f t="shared" si="1"/>
        <v>0</v>
      </c>
      <c r="L88" s="35"/>
      <c r="M88" s="35"/>
      <c r="N88" s="48"/>
      <c r="O88" s="20"/>
      <c r="P88" s="20"/>
    </row>
    <row r="89" spans="1:16" ht="15.75" customHeight="1">
      <c r="A89" s="20"/>
      <c r="B89" s="21"/>
      <c r="C89" s="21"/>
      <c r="D89" s="21"/>
      <c r="E89" s="21"/>
      <c r="F89" s="21"/>
      <c r="G89" s="21"/>
      <c r="H89" s="21"/>
      <c r="I89" s="19"/>
      <c r="J89" s="22"/>
      <c r="K89" s="19">
        <f t="shared" si="1"/>
        <v>0</v>
      </c>
      <c r="L89" s="35"/>
      <c r="M89" s="35"/>
      <c r="N89" s="48"/>
      <c r="O89" s="20"/>
      <c r="P89" s="20"/>
    </row>
    <row r="90" spans="1:16" ht="15.75" customHeight="1">
      <c r="A90" s="20"/>
      <c r="B90" s="21"/>
      <c r="C90" s="21"/>
      <c r="D90" s="21"/>
      <c r="E90" s="21"/>
      <c r="F90" s="21"/>
      <c r="G90" s="21"/>
      <c r="H90" s="21"/>
      <c r="I90" s="19"/>
      <c r="J90" s="22"/>
      <c r="K90" s="19">
        <f t="shared" si="1"/>
        <v>0</v>
      </c>
      <c r="L90" s="35"/>
      <c r="M90" s="35"/>
      <c r="N90" s="48"/>
      <c r="O90" s="20"/>
      <c r="P90" s="20"/>
    </row>
    <row r="91" spans="1:16" ht="15.75" customHeight="1">
      <c r="A91" s="20"/>
      <c r="B91" s="21"/>
      <c r="C91" s="21"/>
      <c r="D91" s="21"/>
      <c r="E91" s="21"/>
      <c r="F91" s="21"/>
      <c r="G91" s="21"/>
      <c r="H91" s="21"/>
      <c r="I91" s="19"/>
      <c r="J91" s="22"/>
      <c r="K91" s="19">
        <f t="shared" si="1"/>
        <v>0</v>
      </c>
      <c r="L91" s="35"/>
      <c r="M91" s="35"/>
      <c r="N91" s="48"/>
      <c r="O91" s="20"/>
      <c r="P91" s="20"/>
    </row>
    <row r="92" spans="1:16" ht="15.75" customHeight="1">
      <c r="A92" s="20"/>
      <c r="B92" s="21"/>
      <c r="C92" s="21"/>
      <c r="D92" s="21"/>
      <c r="E92" s="21"/>
      <c r="F92" s="21"/>
      <c r="G92" s="21"/>
      <c r="H92" s="21"/>
      <c r="I92" s="19"/>
      <c r="J92" s="22"/>
      <c r="K92" s="19">
        <f t="shared" si="1"/>
        <v>0</v>
      </c>
      <c r="L92" s="35"/>
      <c r="M92" s="35"/>
      <c r="N92" s="48"/>
      <c r="O92" s="20"/>
      <c r="P92" s="20"/>
    </row>
    <row r="93" spans="1:16" ht="15.75" customHeight="1">
      <c r="A93" s="20"/>
      <c r="B93" s="21"/>
      <c r="C93" s="21"/>
      <c r="D93" s="21"/>
      <c r="E93" s="21"/>
      <c r="F93" s="21"/>
      <c r="G93" s="21"/>
      <c r="H93" s="21"/>
      <c r="I93" s="19"/>
      <c r="J93" s="22"/>
      <c r="K93" s="19">
        <f t="shared" si="1"/>
        <v>0</v>
      </c>
      <c r="L93" s="35"/>
      <c r="M93" s="35"/>
      <c r="N93" s="48"/>
      <c r="O93" s="20"/>
      <c r="P93" s="20"/>
    </row>
    <row r="94" spans="1:16" ht="15.75" customHeight="1">
      <c r="A94" s="20"/>
      <c r="B94" s="21"/>
      <c r="C94" s="21"/>
      <c r="D94" s="21"/>
      <c r="E94" s="21"/>
      <c r="F94" s="21"/>
      <c r="G94" s="21"/>
      <c r="H94" s="21"/>
      <c r="I94" s="19"/>
      <c r="J94" s="22"/>
      <c r="K94" s="19">
        <f t="shared" si="1"/>
        <v>0</v>
      </c>
      <c r="L94" s="35"/>
      <c r="M94" s="35"/>
      <c r="N94" s="48"/>
      <c r="O94" s="20"/>
      <c r="P94" s="20"/>
    </row>
    <row r="95" spans="1:16" ht="15.75" customHeight="1">
      <c r="A95" s="20"/>
      <c r="B95" s="21"/>
      <c r="C95" s="21"/>
      <c r="D95" s="21"/>
      <c r="E95" s="21"/>
      <c r="F95" s="21"/>
      <c r="G95" s="21"/>
      <c r="H95" s="21"/>
      <c r="I95" s="19"/>
      <c r="J95" s="22"/>
      <c r="K95" s="19">
        <f t="shared" si="1"/>
        <v>0</v>
      </c>
      <c r="L95" s="35"/>
      <c r="M95" s="35"/>
      <c r="N95" s="48"/>
      <c r="O95" s="20"/>
      <c r="P95" s="20"/>
    </row>
    <row r="96" spans="1:16" ht="15.75" customHeight="1">
      <c r="A96" s="20"/>
      <c r="B96" s="21"/>
      <c r="C96" s="21"/>
      <c r="D96" s="21"/>
      <c r="E96" s="21"/>
      <c r="F96" s="21"/>
      <c r="G96" s="21"/>
      <c r="H96" s="21"/>
      <c r="I96" s="19"/>
      <c r="J96" s="22"/>
      <c r="K96" s="19">
        <f t="shared" si="1"/>
        <v>0</v>
      </c>
      <c r="L96" s="35"/>
      <c r="M96" s="35"/>
      <c r="N96" s="48"/>
      <c r="O96" s="20"/>
      <c r="P96" s="20"/>
    </row>
    <row r="97" spans="1:16" ht="15.75" customHeight="1">
      <c r="A97" s="20"/>
      <c r="B97" s="21"/>
      <c r="C97" s="21"/>
      <c r="D97" s="21"/>
      <c r="E97" s="21"/>
      <c r="F97" s="21"/>
      <c r="G97" s="21"/>
      <c r="H97" s="21"/>
      <c r="I97" s="19"/>
      <c r="J97" s="22"/>
      <c r="K97" s="19">
        <f t="shared" si="1"/>
        <v>0</v>
      </c>
      <c r="L97" s="35"/>
      <c r="M97" s="35"/>
      <c r="N97" s="48"/>
      <c r="O97" s="20"/>
      <c r="P97" s="20"/>
    </row>
    <row r="98" spans="1:16" ht="15.75" customHeight="1">
      <c r="A98" s="20"/>
      <c r="B98" s="21"/>
      <c r="C98" s="21"/>
      <c r="D98" s="21"/>
      <c r="E98" s="21"/>
      <c r="F98" s="21"/>
      <c r="G98" s="21"/>
      <c r="H98" s="21"/>
      <c r="I98" s="19"/>
      <c r="J98" s="22"/>
      <c r="K98" s="19">
        <f t="shared" si="1"/>
        <v>0</v>
      </c>
      <c r="L98" s="35"/>
      <c r="M98" s="35"/>
      <c r="N98" s="48"/>
      <c r="O98" s="20"/>
      <c r="P98" s="20"/>
    </row>
    <row r="99" spans="1:16" ht="15.75" customHeight="1">
      <c r="A99" s="20"/>
      <c r="B99" s="21"/>
      <c r="C99" s="21"/>
      <c r="D99" s="21"/>
      <c r="E99" s="21"/>
      <c r="F99" s="21"/>
      <c r="G99" s="21"/>
      <c r="H99" s="21"/>
      <c r="I99" s="19"/>
      <c r="J99" s="22"/>
      <c r="K99" s="19">
        <f t="shared" si="1"/>
        <v>0</v>
      </c>
      <c r="L99" s="35"/>
      <c r="M99" s="35"/>
      <c r="N99" s="48"/>
      <c r="O99" s="20"/>
      <c r="P99" s="20"/>
    </row>
    <row r="100" spans="1:16" ht="15.75" customHeight="1">
      <c r="A100" s="20"/>
      <c r="B100" s="21"/>
      <c r="C100" s="21"/>
      <c r="D100" s="21"/>
      <c r="E100" s="21"/>
      <c r="F100" s="21"/>
      <c r="G100" s="21"/>
      <c r="H100" s="21"/>
      <c r="I100" s="19"/>
      <c r="J100" s="22"/>
      <c r="K100" s="19">
        <f t="shared" si="1"/>
        <v>0</v>
      </c>
      <c r="L100" s="35"/>
      <c r="M100" s="35"/>
      <c r="N100" s="48"/>
      <c r="O100" s="20"/>
      <c r="P100" s="20"/>
    </row>
    <row r="101" spans="1:16" ht="15.75" customHeight="1">
      <c r="A101" s="20"/>
      <c r="B101" s="21"/>
      <c r="C101" s="21"/>
      <c r="D101" s="21"/>
      <c r="E101" s="21"/>
      <c r="F101" s="21"/>
      <c r="G101" s="21"/>
      <c r="H101" s="21"/>
      <c r="I101" s="19"/>
      <c r="J101" s="22"/>
      <c r="K101" s="19">
        <f t="shared" si="1"/>
        <v>0</v>
      </c>
      <c r="L101" s="35"/>
      <c r="M101" s="35"/>
      <c r="N101" s="48"/>
      <c r="O101" s="20"/>
      <c r="P101" s="20"/>
    </row>
    <row r="102" spans="1:16" ht="15.75" customHeight="1">
      <c r="A102" s="20"/>
      <c r="B102" s="21"/>
      <c r="C102" s="21"/>
      <c r="D102" s="21"/>
      <c r="E102" s="21"/>
      <c r="F102" s="21"/>
      <c r="G102" s="21"/>
      <c r="H102" s="21"/>
      <c r="I102" s="19"/>
      <c r="J102" s="22"/>
      <c r="K102" s="19">
        <f t="shared" si="1"/>
        <v>0</v>
      </c>
      <c r="L102" s="35"/>
      <c r="M102" s="35"/>
      <c r="N102" s="48"/>
      <c r="O102" s="20"/>
      <c r="P102" s="20"/>
    </row>
    <row r="103" spans="1:16" ht="15.75" customHeight="1">
      <c r="A103" s="20"/>
      <c r="B103" s="21"/>
      <c r="C103" s="21"/>
      <c r="D103" s="21"/>
      <c r="E103" s="21"/>
      <c r="F103" s="21"/>
      <c r="G103" s="21"/>
      <c r="H103" s="21"/>
      <c r="I103" s="19"/>
      <c r="J103" s="22"/>
      <c r="K103" s="19">
        <f t="shared" si="1"/>
        <v>0</v>
      </c>
      <c r="L103" s="35"/>
      <c r="M103" s="35"/>
      <c r="N103" s="48"/>
      <c r="O103" s="20"/>
      <c r="P103" s="20"/>
    </row>
    <row r="104" spans="1:16" ht="15.75" customHeight="1">
      <c r="A104" s="20"/>
      <c r="B104" s="21"/>
      <c r="C104" s="21"/>
      <c r="D104" s="21"/>
      <c r="E104" s="21"/>
      <c r="F104" s="21"/>
      <c r="G104" s="21"/>
      <c r="H104" s="21"/>
      <c r="I104" s="19"/>
      <c r="J104" s="22"/>
      <c r="K104" s="19">
        <f t="shared" si="1"/>
        <v>0</v>
      </c>
      <c r="L104" s="35"/>
      <c r="M104" s="35"/>
      <c r="N104" s="48"/>
      <c r="O104" s="20"/>
      <c r="P104" s="20"/>
    </row>
    <row r="105" spans="1:16" ht="15.75" customHeight="1">
      <c r="A105" s="20"/>
      <c r="B105" s="21"/>
      <c r="C105" s="21"/>
      <c r="D105" s="21"/>
      <c r="E105" s="21"/>
      <c r="F105" s="21"/>
      <c r="G105" s="21"/>
      <c r="H105" s="21"/>
      <c r="I105" s="19"/>
      <c r="J105" s="22"/>
      <c r="K105" s="19">
        <f t="shared" si="1"/>
        <v>0</v>
      </c>
      <c r="L105" s="35"/>
      <c r="M105" s="35"/>
      <c r="N105" s="48"/>
      <c r="O105" s="20"/>
      <c r="P105" s="20"/>
    </row>
    <row r="106" spans="1:16" ht="15.75" customHeight="1">
      <c r="A106" s="20"/>
      <c r="B106" s="21"/>
      <c r="C106" s="21"/>
      <c r="D106" s="21"/>
      <c r="E106" s="21"/>
      <c r="F106" s="21"/>
      <c r="G106" s="21"/>
      <c r="H106" s="21"/>
      <c r="I106" s="19"/>
      <c r="J106" s="22"/>
      <c r="K106" s="19">
        <f t="shared" ref="K106:K137" si="2">IF(I106="",0,I106*J106)</f>
        <v>0</v>
      </c>
      <c r="L106" s="35"/>
      <c r="M106" s="35"/>
      <c r="N106" s="48"/>
      <c r="O106" s="20"/>
      <c r="P106" s="20"/>
    </row>
    <row r="107" spans="1:16" ht="15.75" customHeight="1">
      <c r="A107" s="20"/>
      <c r="B107" s="21"/>
      <c r="C107" s="21"/>
      <c r="D107" s="21"/>
      <c r="E107" s="21"/>
      <c r="F107" s="21"/>
      <c r="G107" s="21"/>
      <c r="H107" s="21"/>
      <c r="I107" s="19"/>
      <c r="J107" s="22"/>
      <c r="K107" s="19">
        <f t="shared" si="2"/>
        <v>0</v>
      </c>
      <c r="L107" s="35"/>
      <c r="M107" s="35"/>
      <c r="N107" s="48"/>
      <c r="O107" s="20"/>
      <c r="P107" s="20"/>
    </row>
    <row r="108" spans="1:16" ht="15.75" customHeight="1">
      <c r="A108" s="20"/>
      <c r="B108" s="21"/>
      <c r="C108" s="21"/>
      <c r="D108" s="21"/>
      <c r="E108" s="21"/>
      <c r="F108" s="21"/>
      <c r="G108" s="21"/>
      <c r="H108" s="21"/>
      <c r="I108" s="19"/>
      <c r="J108" s="22"/>
      <c r="K108" s="19">
        <f t="shared" si="2"/>
        <v>0</v>
      </c>
      <c r="L108" s="35"/>
      <c r="M108" s="35"/>
      <c r="N108" s="48"/>
      <c r="O108" s="20"/>
      <c r="P108" s="20"/>
    </row>
    <row r="109" spans="1:16" ht="15.75" customHeight="1">
      <c r="A109" s="20"/>
      <c r="B109" s="21"/>
      <c r="C109" s="21"/>
      <c r="D109" s="21"/>
      <c r="E109" s="21"/>
      <c r="F109" s="21"/>
      <c r="G109" s="21"/>
      <c r="H109" s="21"/>
      <c r="I109" s="19"/>
      <c r="J109" s="22"/>
      <c r="K109" s="19">
        <f t="shared" si="2"/>
        <v>0</v>
      </c>
      <c r="L109" s="35"/>
      <c r="M109" s="35"/>
      <c r="N109" s="48"/>
      <c r="O109" s="20"/>
      <c r="P109" s="20"/>
    </row>
    <row r="110" spans="1:16" ht="15.75" customHeight="1">
      <c r="A110" s="20"/>
      <c r="B110" s="21"/>
      <c r="C110" s="21"/>
      <c r="D110" s="21"/>
      <c r="E110" s="21"/>
      <c r="F110" s="21"/>
      <c r="G110" s="21"/>
      <c r="H110" s="21"/>
      <c r="I110" s="19"/>
      <c r="J110" s="22"/>
      <c r="K110" s="19">
        <f t="shared" si="2"/>
        <v>0</v>
      </c>
      <c r="L110" s="35"/>
      <c r="M110" s="35"/>
      <c r="N110" s="48"/>
      <c r="O110" s="20"/>
      <c r="P110" s="20"/>
    </row>
    <row r="111" spans="1:16" ht="15.75" customHeight="1">
      <c r="A111" s="20"/>
      <c r="B111" s="21"/>
      <c r="C111" s="21"/>
      <c r="D111" s="21"/>
      <c r="E111" s="21"/>
      <c r="F111" s="21"/>
      <c r="G111" s="21"/>
      <c r="H111" s="21"/>
      <c r="I111" s="19"/>
      <c r="J111" s="22"/>
      <c r="K111" s="19">
        <f t="shared" si="2"/>
        <v>0</v>
      </c>
      <c r="L111" s="35"/>
      <c r="M111" s="35"/>
      <c r="N111" s="48"/>
      <c r="O111" s="20"/>
      <c r="P111" s="20"/>
    </row>
    <row r="112" spans="1:16" ht="15.75" customHeight="1">
      <c r="A112" s="20"/>
      <c r="B112" s="21"/>
      <c r="C112" s="21"/>
      <c r="D112" s="21"/>
      <c r="E112" s="21"/>
      <c r="F112" s="21"/>
      <c r="G112" s="21"/>
      <c r="H112" s="21"/>
      <c r="I112" s="19"/>
      <c r="J112" s="22"/>
      <c r="K112" s="19">
        <f t="shared" si="2"/>
        <v>0</v>
      </c>
      <c r="L112" s="35"/>
      <c r="M112" s="35"/>
      <c r="N112" s="48"/>
      <c r="O112" s="20"/>
      <c r="P112" s="20"/>
    </row>
    <row r="113" spans="1:16" ht="15.75" customHeight="1">
      <c r="A113" s="20"/>
      <c r="B113" s="21"/>
      <c r="C113" s="21"/>
      <c r="D113" s="21"/>
      <c r="E113" s="21"/>
      <c r="F113" s="21"/>
      <c r="G113" s="21"/>
      <c r="H113" s="21"/>
      <c r="I113" s="19"/>
      <c r="J113" s="22"/>
      <c r="K113" s="19">
        <f t="shared" si="2"/>
        <v>0</v>
      </c>
      <c r="L113" s="35"/>
      <c r="M113" s="35"/>
      <c r="N113" s="48"/>
      <c r="O113" s="20"/>
      <c r="P113" s="20"/>
    </row>
    <row r="114" spans="1:16" ht="15.75" customHeight="1">
      <c r="A114" s="20"/>
      <c r="B114" s="21"/>
      <c r="C114" s="21"/>
      <c r="D114" s="21"/>
      <c r="E114" s="21"/>
      <c r="F114" s="21"/>
      <c r="G114" s="21"/>
      <c r="H114" s="21"/>
      <c r="I114" s="19"/>
      <c r="J114" s="22"/>
      <c r="K114" s="19">
        <f t="shared" si="2"/>
        <v>0</v>
      </c>
      <c r="L114" s="35"/>
      <c r="M114" s="35"/>
      <c r="N114" s="48"/>
      <c r="O114" s="20"/>
      <c r="P114" s="20"/>
    </row>
    <row r="115" spans="1:16" ht="15.75" customHeight="1">
      <c r="A115" s="20"/>
      <c r="B115" s="21"/>
      <c r="C115" s="21"/>
      <c r="D115" s="21"/>
      <c r="E115" s="21"/>
      <c r="F115" s="21"/>
      <c r="G115" s="21"/>
      <c r="H115" s="21"/>
      <c r="I115" s="19"/>
      <c r="J115" s="22"/>
      <c r="K115" s="19">
        <f t="shared" si="2"/>
        <v>0</v>
      </c>
      <c r="L115" s="35"/>
      <c r="M115" s="35"/>
      <c r="N115" s="48"/>
      <c r="O115" s="20"/>
      <c r="P115" s="20"/>
    </row>
    <row r="116" spans="1:16" ht="15.75" customHeight="1">
      <c r="A116" s="20"/>
      <c r="B116" s="21"/>
      <c r="C116" s="21"/>
      <c r="D116" s="21"/>
      <c r="E116" s="21"/>
      <c r="F116" s="21"/>
      <c r="G116" s="21"/>
      <c r="H116" s="21"/>
      <c r="I116" s="19"/>
      <c r="J116" s="22"/>
      <c r="K116" s="19">
        <f t="shared" si="2"/>
        <v>0</v>
      </c>
      <c r="L116" s="35"/>
      <c r="M116" s="35"/>
      <c r="N116" s="48"/>
      <c r="O116" s="20"/>
      <c r="P116" s="20"/>
    </row>
    <row r="117" spans="1:16" ht="15.75" customHeight="1">
      <c r="A117" s="20"/>
      <c r="B117" s="21"/>
      <c r="C117" s="21"/>
      <c r="D117" s="21"/>
      <c r="E117" s="21"/>
      <c r="F117" s="21"/>
      <c r="G117" s="21"/>
      <c r="H117" s="21"/>
      <c r="I117" s="19"/>
      <c r="J117" s="22"/>
      <c r="K117" s="19">
        <f t="shared" si="2"/>
        <v>0</v>
      </c>
      <c r="L117" s="35"/>
      <c r="M117" s="35"/>
      <c r="N117" s="48"/>
      <c r="O117" s="20"/>
      <c r="P117" s="20"/>
    </row>
    <row r="118" spans="1:16" ht="15.75" customHeight="1">
      <c r="A118" s="20"/>
      <c r="B118" s="21"/>
      <c r="C118" s="21"/>
      <c r="D118" s="21"/>
      <c r="E118" s="21"/>
      <c r="F118" s="21"/>
      <c r="G118" s="21"/>
      <c r="H118" s="21"/>
      <c r="I118" s="19"/>
      <c r="J118" s="22"/>
      <c r="K118" s="19">
        <f t="shared" si="2"/>
        <v>0</v>
      </c>
      <c r="L118" s="35"/>
      <c r="M118" s="35"/>
      <c r="N118" s="48"/>
      <c r="O118" s="20"/>
      <c r="P118" s="20"/>
    </row>
    <row r="119" spans="1:16" ht="15.75" customHeight="1">
      <c r="A119" s="20"/>
      <c r="B119" s="21"/>
      <c r="C119" s="21"/>
      <c r="D119" s="21"/>
      <c r="E119" s="21"/>
      <c r="F119" s="21"/>
      <c r="G119" s="21"/>
      <c r="H119" s="21"/>
      <c r="I119" s="19"/>
      <c r="J119" s="22"/>
      <c r="K119" s="19">
        <f t="shared" si="2"/>
        <v>0</v>
      </c>
      <c r="L119" s="35"/>
      <c r="M119" s="35"/>
      <c r="N119" s="48"/>
      <c r="O119" s="20"/>
      <c r="P119" s="20"/>
    </row>
    <row r="120" spans="1:16" ht="15.75" customHeight="1">
      <c r="A120" s="20"/>
      <c r="B120" s="21"/>
      <c r="C120" s="21"/>
      <c r="D120" s="21"/>
      <c r="E120" s="21"/>
      <c r="F120" s="21"/>
      <c r="G120" s="21"/>
      <c r="H120" s="21"/>
      <c r="I120" s="19"/>
      <c r="J120" s="22"/>
      <c r="K120" s="19">
        <f t="shared" si="2"/>
        <v>0</v>
      </c>
      <c r="L120" s="35"/>
      <c r="M120" s="35"/>
      <c r="N120" s="48"/>
      <c r="O120" s="20"/>
      <c r="P120" s="20"/>
    </row>
    <row r="121" spans="1:16" ht="15.75" customHeight="1">
      <c r="A121" s="20"/>
      <c r="B121" s="21"/>
      <c r="C121" s="21"/>
      <c r="D121" s="21"/>
      <c r="E121" s="21"/>
      <c r="F121" s="21"/>
      <c r="G121" s="21"/>
      <c r="H121" s="21"/>
      <c r="I121" s="19"/>
      <c r="J121" s="22"/>
      <c r="K121" s="19">
        <f t="shared" si="2"/>
        <v>0</v>
      </c>
      <c r="L121" s="35"/>
      <c r="M121" s="35"/>
      <c r="N121" s="48"/>
      <c r="O121" s="20"/>
      <c r="P121" s="20"/>
    </row>
    <row r="122" spans="1:16" ht="15.75" customHeight="1">
      <c r="A122" s="20"/>
      <c r="B122" s="21"/>
      <c r="C122" s="21"/>
      <c r="D122" s="21"/>
      <c r="E122" s="21"/>
      <c r="F122" s="21"/>
      <c r="G122" s="21"/>
      <c r="H122" s="21"/>
      <c r="I122" s="19"/>
      <c r="J122" s="22"/>
      <c r="K122" s="19">
        <f t="shared" si="2"/>
        <v>0</v>
      </c>
      <c r="L122" s="35"/>
      <c r="M122" s="35"/>
      <c r="N122" s="48"/>
      <c r="O122" s="20"/>
      <c r="P122" s="20"/>
    </row>
    <row r="123" spans="1:16" ht="15.75" customHeight="1">
      <c r="A123" s="20"/>
      <c r="B123" s="21"/>
      <c r="C123" s="21"/>
      <c r="D123" s="21"/>
      <c r="E123" s="21"/>
      <c r="F123" s="21"/>
      <c r="G123" s="21"/>
      <c r="H123" s="21"/>
      <c r="I123" s="19"/>
      <c r="J123" s="22"/>
      <c r="K123" s="19">
        <f t="shared" si="2"/>
        <v>0</v>
      </c>
      <c r="L123" s="35"/>
      <c r="M123" s="35"/>
      <c r="N123" s="48"/>
      <c r="O123" s="20"/>
      <c r="P123" s="20"/>
    </row>
    <row r="124" spans="1:16" ht="15.75" customHeight="1">
      <c r="A124" s="20"/>
      <c r="B124" s="21"/>
      <c r="C124" s="21"/>
      <c r="D124" s="21"/>
      <c r="E124" s="21"/>
      <c r="F124" s="21"/>
      <c r="G124" s="21"/>
      <c r="H124" s="21"/>
      <c r="I124" s="19"/>
      <c r="J124" s="22"/>
      <c r="K124" s="19">
        <f t="shared" si="2"/>
        <v>0</v>
      </c>
      <c r="L124" s="35"/>
      <c r="M124" s="35"/>
      <c r="N124" s="48"/>
      <c r="O124" s="20"/>
      <c r="P124" s="20"/>
    </row>
    <row r="125" spans="1:16" ht="15.75" customHeight="1">
      <c r="A125" s="20"/>
      <c r="B125" s="21"/>
      <c r="C125" s="21"/>
      <c r="D125" s="21"/>
      <c r="E125" s="21"/>
      <c r="F125" s="21"/>
      <c r="G125" s="21"/>
      <c r="H125" s="21"/>
      <c r="I125" s="19"/>
      <c r="J125" s="22"/>
      <c r="K125" s="19">
        <f t="shared" si="2"/>
        <v>0</v>
      </c>
      <c r="L125" s="35"/>
      <c r="M125" s="35"/>
      <c r="N125" s="48"/>
      <c r="O125" s="20"/>
      <c r="P125" s="20"/>
    </row>
    <row r="126" spans="1:16" ht="15.75" customHeight="1">
      <c r="A126" s="20"/>
      <c r="B126" s="21"/>
      <c r="C126" s="21"/>
      <c r="D126" s="21"/>
      <c r="E126" s="21"/>
      <c r="F126" s="21"/>
      <c r="G126" s="21"/>
      <c r="H126" s="21"/>
      <c r="I126" s="19"/>
      <c r="J126" s="22"/>
      <c r="K126" s="19">
        <f t="shared" si="2"/>
        <v>0</v>
      </c>
      <c r="L126" s="35"/>
      <c r="M126" s="35"/>
      <c r="N126" s="48"/>
      <c r="O126" s="20"/>
      <c r="P126" s="20"/>
    </row>
    <row r="127" spans="1:16" ht="15.75" customHeight="1">
      <c r="A127" s="20"/>
      <c r="B127" s="21"/>
      <c r="C127" s="21"/>
      <c r="D127" s="21"/>
      <c r="E127" s="21"/>
      <c r="F127" s="21"/>
      <c r="G127" s="21"/>
      <c r="H127" s="21"/>
      <c r="I127" s="19"/>
      <c r="J127" s="22"/>
      <c r="K127" s="19">
        <f t="shared" si="2"/>
        <v>0</v>
      </c>
      <c r="L127" s="35"/>
      <c r="M127" s="35"/>
      <c r="N127" s="48"/>
      <c r="O127" s="20"/>
      <c r="P127" s="20"/>
    </row>
    <row r="128" spans="1:16" ht="15.75" customHeight="1">
      <c r="A128" s="20"/>
      <c r="B128" s="21"/>
      <c r="C128" s="21"/>
      <c r="D128" s="21"/>
      <c r="E128" s="21"/>
      <c r="F128" s="21"/>
      <c r="G128" s="21"/>
      <c r="H128" s="21"/>
      <c r="I128" s="19"/>
      <c r="J128" s="22"/>
      <c r="K128" s="19">
        <f t="shared" si="2"/>
        <v>0</v>
      </c>
      <c r="L128" s="35"/>
      <c r="M128" s="35"/>
      <c r="N128" s="48"/>
      <c r="O128" s="20"/>
      <c r="P128" s="20"/>
    </row>
    <row r="129" spans="1:16" ht="15.75" customHeight="1">
      <c r="A129" s="20"/>
      <c r="B129" s="21"/>
      <c r="C129" s="21"/>
      <c r="D129" s="21"/>
      <c r="E129" s="21"/>
      <c r="F129" s="21"/>
      <c r="G129" s="21"/>
      <c r="H129" s="21"/>
      <c r="I129" s="19"/>
      <c r="J129" s="22"/>
      <c r="K129" s="19">
        <f t="shared" si="2"/>
        <v>0</v>
      </c>
      <c r="L129" s="35"/>
      <c r="M129" s="35"/>
      <c r="N129" s="48"/>
      <c r="O129" s="20"/>
      <c r="P129" s="20"/>
    </row>
    <row r="130" spans="1:16" ht="15.75" customHeight="1">
      <c r="A130" s="20"/>
      <c r="B130" s="21"/>
      <c r="C130" s="21"/>
      <c r="D130" s="21"/>
      <c r="E130" s="21"/>
      <c r="F130" s="21"/>
      <c r="G130" s="21"/>
      <c r="H130" s="21"/>
      <c r="I130" s="19"/>
      <c r="J130" s="22"/>
      <c r="K130" s="19">
        <f t="shared" si="2"/>
        <v>0</v>
      </c>
      <c r="L130" s="35"/>
      <c r="M130" s="35"/>
      <c r="N130" s="48"/>
      <c r="O130" s="20"/>
      <c r="P130" s="20"/>
    </row>
    <row r="131" spans="1:16" ht="15.75" customHeight="1">
      <c r="A131" s="20"/>
      <c r="B131" s="21"/>
      <c r="C131" s="21"/>
      <c r="D131" s="21"/>
      <c r="E131" s="21"/>
      <c r="F131" s="21"/>
      <c r="G131" s="21"/>
      <c r="H131" s="21"/>
      <c r="I131" s="19"/>
      <c r="J131" s="22"/>
      <c r="K131" s="19">
        <f t="shared" si="2"/>
        <v>0</v>
      </c>
      <c r="L131" s="35"/>
      <c r="M131" s="35"/>
      <c r="N131" s="48"/>
      <c r="O131" s="20"/>
      <c r="P131" s="20"/>
    </row>
    <row r="132" spans="1:16" ht="15.75" customHeight="1">
      <c r="A132" s="20"/>
      <c r="B132" s="21"/>
      <c r="C132" s="21"/>
      <c r="D132" s="21"/>
      <c r="E132" s="21"/>
      <c r="F132" s="21"/>
      <c r="G132" s="21"/>
      <c r="H132" s="21"/>
      <c r="I132" s="19"/>
      <c r="J132" s="22"/>
      <c r="K132" s="19">
        <f t="shared" si="2"/>
        <v>0</v>
      </c>
      <c r="L132" s="35"/>
      <c r="M132" s="35"/>
      <c r="N132" s="48"/>
      <c r="O132" s="20"/>
      <c r="P132" s="20"/>
    </row>
    <row r="133" spans="1:16" ht="15.75" customHeight="1">
      <c r="A133" s="20"/>
      <c r="B133" s="21"/>
      <c r="C133" s="21"/>
      <c r="D133" s="21"/>
      <c r="E133" s="21"/>
      <c r="F133" s="21"/>
      <c r="G133" s="21"/>
      <c r="H133" s="21"/>
      <c r="I133" s="19"/>
      <c r="J133" s="22"/>
      <c r="K133" s="19">
        <f t="shared" si="2"/>
        <v>0</v>
      </c>
      <c r="L133" s="35"/>
      <c r="M133" s="35"/>
      <c r="N133" s="48"/>
      <c r="O133" s="20"/>
      <c r="P133" s="20"/>
    </row>
    <row r="134" spans="1:16" ht="15.75" customHeight="1">
      <c r="A134" s="20"/>
      <c r="B134" s="21"/>
      <c r="C134" s="21"/>
      <c r="D134" s="21"/>
      <c r="E134" s="21"/>
      <c r="F134" s="21"/>
      <c r="G134" s="21"/>
      <c r="H134" s="21"/>
      <c r="I134" s="19"/>
      <c r="J134" s="22"/>
      <c r="K134" s="19">
        <f t="shared" si="2"/>
        <v>0</v>
      </c>
      <c r="L134" s="35"/>
      <c r="M134" s="35"/>
      <c r="N134" s="48"/>
      <c r="O134" s="20"/>
      <c r="P134" s="20"/>
    </row>
    <row r="135" spans="1:16" ht="15.75" customHeight="1">
      <c r="A135" s="20"/>
      <c r="B135" s="21"/>
      <c r="C135" s="21"/>
      <c r="D135" s="21"/>
      <c r="E135" s="21"/>
      <c r="F135" s="21"/>
      <c r="G135" s="21"/>
      <c r="H135" s="21"/>
      <c r="I135" s="19"/>
      <c r="J135" s="22"/>
      <c r="K135" s="19">
        <f t="shared" si="2"/>
        <v>0</v>
      </c>
      <c r="L135" s="35"/>
      <c r="M135" s="35"/>
      <c r="N135" s="48"/>
      <c r="O135" s="20"/>
      <c r="P135" s="20"/>
    </row>
    <row r="136" spans="1:16" ht="15.75" customHeight="1">
      <c r="A136" s="20"/>
      <c r="B136" s="21"/>
      <c r="C136" s="21"/>
      <c r="D136" s="21"/>
      <c r="E136" s="21"/>
      <c r="F136" s="21"/>
      <c r="G136" s="21"/>
      <c r="H136" s="21"/>
      <c r="I136" s="19"/>
      <c r="J136" s="22"/>
      <c r="K136" s="19">
        <f t="shared" si="2"/>
        <v>0</v>
      </c>
      <c r="L136" s="35"/>
      <c r="M136" s="35"/>
      <c r="N136" s="48"/>
      <c r="O136" s="20"/>
      <c r="P136" s="20"/>
    </row>
    <row r="137" spans="1:16" ht="15.75" customHeight="1">
      <c r="A137" s="20"/>
      <c r="B137" s="21"/>
      <c r="C137" s="21"/>
      <c r="D137" s="21"/>
      <c r="E137" s="21"/>
      <c r="F137" s="21"/>
      <c r="G137" s="21"/>
      <c r="H137" s="21"/>
      <c r="I137" s="19"/>
      <c r="J137" s="22"/>
      <c r="K137" s="19">
        <f t="shared" si="2"/>
        <v>0</v>
      </c>
      <c r="L137" s="35"/>
      <c r="M137" s="35"/>
      <c r="N137" s="48"/>
      <c r="O137" s="20"/>
      <c r="P137" s="20"/>
    </row>
    <row r="138" spans="1:16" ht="15.75" customHeight="1">
      <c r="A138" s="20"/>
      <c r="B138" s="21"/>
      <c r="C138" s="21"/>
      <c r="D138" s="21"/>
      <c r="E138" s="21"/>
      <c r="F138" s="21"/>
      <c r="G138" s="21"/>
      <c r="H138" s="21"/>
      <c r="I138" s="19"/>
      <c r="J138" s="22"/>
      <c r="K138" s="19">
        <f t="shared" ref="K138:K141" si="3">IF(I138="",0,I138*J138)</f>
        <v>0</v>
      </c>
      <c r="L138" s="35"/>
      <c r="M138" s="35"/>
      <c r="N138" s="48"/>
      <c r="O138" s="20"/>
      <c r="P138" s="20"/>
    </row>
    <row r="139" spans="1:16" ht="15.75" customHeight="1">
      <c r="A139" s="20"/>
      <c r="B139" s="21"/>
      <c r="C139" s="21"/>
      <c r="D139" s="21"/>
      <c r="E139" s="21"/>
      <c r="F139" s="21"/>
      <c r="G139" s="21"/>
      <c r="H139" s="21"/>
      <c r="I139" s="19"/>
      <c r="J139" s="22"/>
      <c r="K139" s="19">
        <f t="shared" si="3"/>
        <v>0</v>
      </c>
      <c r="L139" s="35"/>
      <c r="M139" s="35"/>
      <c r="N139" s="48"/>
      <c r="O139" s="20"/>
      <c r="P139" s="20"/>
    </row>
    <row r="140" spans="1:16" ht="15.75" customHeight="1">
      <c r="A140" s="20"/>
      <c r="B140" s="21"/>
      <c r="C140" s="21"/>
      <c r="D140" s="21"/>
      <c r="E140" s="21"/>
      <c r="F140" s="21"/>
      <c r="G140" s="21"/>
      <c r="H140" s="21"/>
      <c r="I140" s="19"/>
      <c r="J140" s="22"/>
      <c r="K140" s="19">
        <f t="shared" si="3"/>
        <v>0</v>
      </c>
      <c r="L140" s="35"/>
      <c r="M140" s="35"/>
      <c r="N140" s="48"/>
      <c r="O140" s="20"/>
      <c r="P140" s="20"/>
    </row>
    <row r="141" spans="1:16" ht="15.75" customHeight="1">
      <c r="A141" s="20"/>
      <c r="B141" s="21"/>
      <c r="C141" s="21"/>
      <c r="D141" s="21"/>
      <c r="E141" s="21"/>
      <c r="F141" s="21"/>
      <c r="G141" s="21"/>
      <c r="H141" s="21"/>
      <c r="I141" s="19"/>
      <c r="J141" s="22"/>
      <c r="K141" s="19">
        <f t="shared" si="3"/>
        <v>0</v>
      </c>
      <c r="L141" s="35"/>
      <c r="M141" s="35"/>
      <c r="N141" s="48"/>
      <c r="O141" s="20"/>
      <c r="P141" s="20"/>
    </row>
    <row r="142" spans="1:16" ht="15.75" customHeight="1"/>
    <row r="143" spans="1:16" ht="15.75" customHeight="1"/>
    <row r="144" spans="1:16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M5:P5"/>
    <mergeCell ref="A5:D5"/>
    <mergeCell ref="A17:P17"/>
    <mergeCell ref="A1:P2"/>
    <mergeCell ref="F15:P15"/>
    <mergeCell ref="A9:P9"/>
    <mergeCell ref="E6:H7"/>
    <mergeCell ref="A4:P4"/>
    <mergeCell ref="I6:L7"/>
    <mergeCell ref="M6:P7"/>
    <mergeCell ref="F14:P14"/>
    <mergeCell ref="A6:D7"/>
    <mergeCell ref="E5:H5"/>
    <mergeCell ref="I5:L5"/>
  </mergeCells>
  <dataValidations count="7">
    <dataValidation type="list" allowBlank="1" sqref="C42:C141">
      <formula1>'⚙ Control Panel'!$E$5:$E$6</formula1>
    </dataValidation>
    <dataValidation type="list" allowBlank="1" sqref="F42:F141">
      <formula1>'⚙ Control Panel'!$C$14:$C$18</formula1>
    </dataValidation>
    <dataValidation type="list" allowBlank="1" sqref="G42:G141">
      <formula1>'⚙ Control Panel'!$E$14:$E$16</formula1>
    </dataValidation>
    <dataValidation type="list" allowBlank="1" sqref="E42:E141">
      <formula1>'⚙ Control Panel'!$A$14:$A$16</formula1>
    </dataValidation>
    <dataValidation type="list" allowBlank="1" sqref="D42:D141">
      <formula1>'⚙ Control Panel'!$G$5:$G$7</formula1>
    </dataValidation>
    <dataValidation type="list" allowBlank="1" sqref="B42:B141">
      <formula1>'⚙ Control Panel'!$C$5:$C$10</formula1>
    </dataValidation>
    <dataValidation type="list" allowBlank="1" sqref="H42:H141">
      <formula1>'⚙ Control Panel'!$G$14:$G$17</formula1>
    </dataValidation>
  </dataValidations>
  <pageMargins left="0.75" right="0.75" top="1" bottom="1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2E7D9A"/>
  </sheetPr>
  <dimension ref="A1:Z1000"/>
  <sheetViews>
    <sheetView workbookViewId="0">
      <pane ySplit="17" topLeftCell="A39" activePane="bottomLeft" state="frozen"/>
      <selection pane="bottomLeft" activeCell="T39" sqref="T39"/>
    </sheetView>
  </sheetViews>
  <sheetFormatPr defaultColWidth="14.44140625" defaultRowHeight="15" customHeight="1"/>
  <cols>
    <col min="1" max="1" width="22" style="32" customWidth="1"/>
    <col min="2" max="2" width="14" style="32" customWidth="1"/>
    <col min="3" max="3" width="11" style="32" customWidth="1"/>
    <col min="4" max="4" width="10" style="32" customWidth="1"/>
    <col min="5" max="6" width="14" style="32" customWidth="1"/>
    <col min="7" max="7" width="16" style="32" customWidth="1"/>
    <col min="8" max="8" width="18" style="32" customWidth="1"/>
    <col min="9" max="9" width="14" style="32" customWidth="1"/>
    <col min="10" max="10" width="11" style="32" customWidth="1"/>
    <col min="11" max="11" width="16" style="32" customWidth="1"/>
    <col min="12" max="14" width="13" style="32" customWidth="1"/>
    <col min="15" max="15" width="22" style="32" customWidth="1"/>
    <col min="16" max="18" width="13" style="32" customWidth="1"/>
    <col min="19" max="22" width="14" style="32" customWidth="1"/>
    <col min="23" max="26" width="8.6640625" style="32" customWidth="1"/>
  </cols>
  <sheetData>
    <row r="1" spans="1:22" ht="21.75" customHeight="1">
      <c r="A1" s="58" t="s">
        <v>400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22" ht="21.75" customHeigh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</row>
    <row r="3" spans="1:22" ht="24" customHeight="1">
      <c r="S3" s="5" t="s">
        <v>47</v>
      </c>
      <c r="T3" s="5" t="s">
        <v>91</v>
      </c>
      <c r="U3" s="5" t="s">
        <v>49</v>
      </c>
      <c r="V3" s="5" t="s">
        <v>50</v>
      </c>
    </row>
    <row r="4" spans="1:22" ht="14.4" customHeight="1">
      <c r="A4" s="57" t="s">
        <v>92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S4" s="6" t="s">
        <v>55</v>
      </c>
      <c r="T4" s="17">
        <v>3000000</v>
      </c>
      <c r="U4" s="17">
        <f>SUMPRODUCT(IFERROR((MONTH(L42:L141)=1)*(YEAR(L42:L141)=2026),0)*I42:I141)</f>
        <v>0</v>
      </c>
      <c r="V4" s="17">
        <f>SUMPRODUCT(IFERROR((MONTH(M42:M141)=1)*(YEAR(M42:M141)=2026),0)*I42:I141)</f>
        <v>0</v>
      </c>
    </row>
    <row r="5" spans="1:22" ht="27.75" customHeight="1">
      <c r="A5" s="53" t="s">
        <v>63</v>
      </c>
      <c r="B5" s="51"/>
      <c r="C5" s="51"/>
      <c r="D5" s="51"/>
      <c r="E5" s="53" t="s">
        <v>52</v>
      </c>
      <c r="F5" s="51"/>
      <c r="G5" s="51"/>
      <c r="H5" s="51"/>
      <c r="I5" s="53" t="s">
        <v>53</v>
      </c>
      <c r="J5" s="51"/>
      <c r="K5" s="51"/>
      <c r="L5" s="51"/>
      <c r="M5" s="53" t="s">
        <v>93</v>
      </c>
      <c r="N5" s="51"/>
      <c r="O5" s="51"/>
      <c r="P5" s="51"/>
      <c r="S5" s="7" t="s">
        <v>56</v>
      </c>
      <c r="T5" s="16">
        <v>3000000</v>
      </c>
      <c r="U5" s="16">
        <f>SUMPRODUCT(IFERROR((MONTH(L42:L141)=2)*(YEAR(L42:L141)=2026),0)*I42:I141)</f>
        <v>0</v>
      </c>
      <c r="V5" s="16">
        <f>SUMPRODUCT(IFERROR((MONTH(M42:M141)=2)*(YEAR(M42:M141)=2026),0)*I42:I141)</f>
        <v>0</v>
      </c>
    </row>
    <row r="6" spans="1:22" ht="21.75" customHeight="1">
      <c r="A6" s="59">
        <f>SUMIF(B42:B141,"&lt;&gt;Delivered",I42:I141)</f>
        <v>0</v>
      </c>
      <c r="B6" s="55"/>
      <c r="C6" s="55"/>
      <c r="D6" s="55"/>
      <c r="E6" s="59">
        <f>SUM(K42:K141)</f>
        <v>0</v>
      </c>
      <c r="F6" s="55"/>
      <c r="G6" s="55"/>
      <c r="H6" s="55"/>
      <c r="I6" s="59">
        <f ca="1">SUMPRODUCT((B42:B141="Deal Signed")*IFERROR((MONTH(L42:L141)=MONTH(TODAY()))*(YEAR(L42:L141)=YEAR(TODAY())),0)*I42:I141)+SUMPRODUCT((B42:B141="Delivered")*IFERROR((MONTH(L42:L141)=MONTH(TODAY()))*(YEAR(L42:L141)=YEAR(TODAY())),0)*I42:I141)</f>
        <v>0</v>
      </c>
      <c r="J6" s="55"/>
      <c r="K6" s="55"/>
      <c r="L6" s="55"/>
      <c r="M6" s="54">
        <f>SUM(T4:T15)</f>
        <v>36000000</v>
      </c>
      <c r="N6" s="55"/>
      <c r="O6" s="55"/>
      <c r="P6" s="55"/>
      <c r="S6" s="6" t="s">
        <v>57</v>
      </c>
      <c r="T6" s="17">
        <v>3000000</v>
      </c>
      <c r="U6" s="17">
        <f>SUMPRODUCT(IFERROR((MONTH(L42:L141)=3)*(YEAR(L42:L141)=2026),0)*I42:I141)</f>
        <v>0</v>
      </c>
      <c r="V6" s="17">
        <f>SUMPRODUCT(IFERROR((MONTH(M42:M141)=3)*(YEAR(M42:M141)=2026),0)*I42:I141)</f>
        <v>0</v>
      </c>
    </row>
    <row r="7" spans="1:22" ht="21.75" customHeight="1">
      <c r="A7" s="56"/>
      <c r="B7" s="51"/>
      <c r="C7" s="51"/>
      <c r="D7" s="51"/>
      <c r="E7" s="56"/>
      <c r="F7" s="51"/>
      <c r="G7" s="51"/>
      <c r="H7" s="51"/>
      <c r="I7" s="56"/>
      <c r="J7" s="51"/>
      <c r="K7" s="51"/>
      <c r="L7" s="51"/>
      <c r="M7" s="56"/>
      <c r="N7" s="51"/>
      <c r="O7" s="51"/>
      <c r="P7" s="51"/>
      <c r="S7" s="7" t="s">
        <v>58</v>
      </c>
      <c r="T7" s="16">
        <v>3000000</v>
      </c>
      <c r="U7" s="16">
        <f>SUMPRODUCT(IFERROR((MONTH(L42:L141)=4)*(YEAR(L42:L141)=2026),0)*I42:I141)</f>
        <v>0</v>
      </c>
      <c r="V7" s="16">
        <f>SUMPRODUCT(IFERROR((MONTH(M42:M141)=4)*(YEAR(M42:M141)=2026),0)*I42:I141)</f>
        <v>0</v>
      </c>
    </row>
    <row r="8" spans="1:22" ht="14.4" customHeight="1">
      <c r="S8" s="6" t="s">
        <v>59</v>
      </c>
      <c r="T8" s="17">
        <v>3000000</v>
      </c>
      <c r="U8" s="17">
        <f>SUMPRODUCT(IFERROR((MONTH(L42:L141)=5)*(YEAR(L42:L141)=2026),0)*I42:I141)</f>
        <v>0</v>
      </c>
      <c r="V8" s="17">
        <f>SUMPRODUCT(IFERROR((MONTH(M42:M141)=5)*(YEAR(M42:M141)=2026),0)*I42:I141)</f>
        <v>0</v>
      </c>
    </row>
    <row r="9" spans="1:22" ht="14.4" customHeight="1">
      <c r="A9" s="57" t="s">
        <v>94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S9" s="7" t="s">
        <v>61</v>
      </c>
      <c r="T9" s="16">
        <v>3000000</v>
      </c>
      <c r="U9" s="16">
        <f>SUMPRODUCT(IFERROR((MONTH(L42:L141)=6)*(YEAR(L42:L141)=2026),0)*I42:I141)</f>
        <v>0</v>
      </c>
      <c r="V9" s="16">
        <f>SUMPRODUCT(IFERROR((MONTH(M42:M141)=6)*(YEAR(M42:M141)=2026),0)*I42:I141)</f>
        <v>0</v>
      </c>
    </row>
    <row r="10" spans="1:22" ht="14.4" customHeight="1">
      <c r="A10" s="14" t="s">
        <v>2</v>
      </c>
      <c r="B10" s="14" t="s">
        <v>86</v>
      </c>
      <c r="C10" s="14" t="s">
        <v>87</v>
      </c>
      <c r="D10" s="14" t="s">
        <v>83</v>
      </c>
      <c r="F10" s="14" t="s">
        <v>4</v>
      </c>
      <c r="G10" s="14" t="s">
        <v>86</v>
      </c>
      <c r="H10" s="14" t="s">
        <v>87</v>
      </c>
      <c r="I10" s="14" t="s">
        <v>83</v>
      </c>
      <c r="S10" s="6" t="s">
        <v>72</v>
      </c>
      <c r="T10" s="17">
        <v>3000000</v>
      </c>
      <c r="U10" s="17">
        <f>SUMPRODUCT(IFERROR((MONTH(L42:L141)=7)*(YEAR(L42:L141)=2026),0)*I42:I141)</f>
        <v>0</v>
      </c>
      <c r="V10" s="17">
        <f>SUMPRODUCT(IFERROR((MONTH(M42:M141)=7)*(YEAR(M42:M141)=2026),0)*I42:I141)</f>
        <v>0</v>
      </c>
    </row>
    <row r="11" spans="1:22" ht="14.4" customHeight="1">
      <c r="A11" s="15" t="s">
        <v>6</v>
      </c>
      <c r="B11" s="19">
        <f>COUNTIF(B42:B141,"Interest")</f>
        <v>0</v>
      </c>
      <c r="C11" s="19">
        <f>SUMIF(B42:B141,"Interest",I42:I141)</f>
        <v>0</v>
      </c>
      <c r="D11" s="37">
        <f>IFERROR(SUMIF(B42:B141,"Interest",I42:I141)/SUM(I42:I141),0)</f>
        <v>0</v>
      </c>
      <c r="F11" s="15" t="s">
        <v>8</v>
      </c>
      <c r="G11" s="19">
        <f>COUNTIF(D42:D141,"High")</f>
        <v>0</v>
      </c>
      <c r="H11" s="19">
        <f>SUMIF(D42:D141,"High",I42:I141)</f>
        <v>0</v>
      </c>
      <c r="I11" s="37">
        <f>IFERROR(SUMIF(D42:D141,"High",I42:I141)/SUM(I42:I141),0)</f>
        <v>0</v>
      </c>
      <c r="S11" s="7" t="s">
        <v>73</v>
      </c>
      <c r="T11" s="16">
        <v>3000000</v>
      </c>
      <c r="U11" s="16">
        <f>SUMPRODUCT(IFERROR((MONTH(L42:L141)=8)*(YEAR(L42:L141)=2026),0)*I42:I141)</f>
        <v>0</v>
      </c>
      <c r="V11" s="16">
        <f>SUMPRODUCT(IFERROR((MONTH(M42:M141)=8)*(YEAR(M42:M141)=2026),0)*I42:I141)</f>
        <v>0</v>
      </c>
    </row>
    <row r="12" spans="1:22" ht="14.4" customHeight="1">
      <c r="A12" s="15" t="s">
        <v>10</v>
      </c>
      <c r="B12" s="19">
        <f>COUNTIF(B42:B141,"Send PI")</f>
        <v>0</v>
      </c>
      <c r="C12" s="19">
        <f>SUMIF(B42:B141,"Send PI",I42:I141)</f>
        <v>0</v>
      </c>
      <c r="D12" s="37">
        <f>IFERROR(SUMIF(B42:B141,"Send PI",I42:I141)/SUM(I42:I141),0)</f>
        <v>0</v>
      </c>
      <c r="F12" s="15" t="s">
        <v>12</v>
      </c>
      <c r="G12" s="19">
        <f>COUNTIF(D42:D141,"Medium")</f>
        <v>0</v>
      </c>
      <c r="H12" s="19">
        <f>SUMIF(D42:D141,"Medium",I42:I141)</f>
        <v>0</v>
      </c>
      <c r="I12" s="37">
        <f>IFERROR(SUMIF(D42:D141,"Medium",I42:I141)/SUM(I42:I141),0)</f>
        <v>0</v>
      </c>
      <c r="S12" s="6" t="s">
        <v>74</v>
      </c>
      <c r="T12" s="17">
        <v>3000000</v>
      </c>
      <c r="U12" s="17">
        <f>SUMPRODUCT(IFERROR((MONTH(L42:L141)=9)*(YEAR(L42:L141)=2026),0)*I42:I141)</f>
        <v>0</v>
      </c>
      <c r="V12" s="17">
        <f>SUMPRODUCT(IFERROR((MONTH(M42:M141)=9)*(YEAR(M42:M141)=2026),0)*I42:I141)</f>
        <v>0</v>
      </c>
    </row>
    <row r="13" spans="1:22" ht="14.4" customHeight="1">
      <c r="A13" s="15" t="s">
        <v>14</v>
      </c>
      <c r="B13" s="19">
        <f>COUNTIF(B42:B141,"Negotiating")</f>
        <v>0</v>
      </c>
      <c r="C13" s="19">
        <f>SUMIF(B42:B141,"Negotiating",I42:I141)</f>
        <v>0</v>
      </c>
      <c r="D13" s="37">
        <f>IFERROR(SUMIF(B42:B141,"Negotiating",I42:I141)/SUM(I42:I141),0)</f>
        <v>0</v>
      </c>
      <c r="F13" s="15" t="s">
        <v>15</v>
      </c>
      <c r="G13" s="19">
        <f>COUNTIF(D42:D141,"Low")</f>
        <v>0</v>
      </c>
      <c r="H13" s="19">
        <f>SUMIF(D42:D141,"Low",I42:I141)</f>
        <v>0</v>
      </c>
      <c r="I13" s="37">
        <f>IFERROR(SUMIF(D42:D141,"Low",I42:I141)/SUM(I42:I141),0)</f>
        <v>0</v>
      </c>
      <c r="S13" s="7" t="s">
        <v>75</v>
      </c>
      <c r="T13" s="16">
        <v>3000000</v>
      </c>
      <c r="U13" s="16">
        <f>SUMPRODUCT(IFERROR((MONTH(L42:L141)=10)*(YEAR(L42:L141)=2026),0)*I42:I141)</f>
        <v>0</v>
      </c>
      <c r="V13" s="16">
        <f>SUMPRODUCT(IFERROR((MONTH(M42:M141)=10)*(YEAR(M42:M141)=2026),0)*I42:I141)</f>
        <v>0</v>
      </c>
    </row>
    <row r="14" spans="1:22" ht="14.4" customHeight="1">
      <c r="A14" s="15" t="s">
        <v>17</v>
      </c>
      <c r="B14" s="19">
        <f>COUNTIF(B42:B141,"Deal Signed")</f>
        <v>0</v>
      </c>
      <c r="C14" s="19">
        <f>SUMIF(B42:B141,"Deal Signed",I42:I141)</f>
        <v>0</v>
      </c>
      <c r="D14" s="37">
        <f>IFERROR(SUMIF(B42:B141,"Deal Signed",I42:I141)/SUM(I42:I141),0)</f>
        <v>0</v>
      </c>
      <c r="F14" s="63" t="s">
        <v>95</v>
      </c>
      <c r="G14" s="51"/>
      <c r="H14" s="51"/>
      <c r="I14" s="51"/>
      <c r="J14" s="51"/>
      <c r="K14" s="51"/>
      <c r="L14" s="51"/>
      <c r="M14" s="51"/>
      <c r="N14" s="51"/>
      <c r="O14" s="51"/>
      <c r="P14" s="51"/>
      <c r="S14" s="6" t="s">
        <v>76</v>
      </c>
      <c r="T14" s="17">
        <v>3000000</v>
      </c>
      <c r="U14" s="17">
        <f>SUMPRODUCT(IFERROR((MONTH(L42:L141)=11)*(YEAR(L42:L141)=2026),0)*I42:I141)</f>
        <v>0</v>
      </c>
      <c r="V14" s="17">
        <f>SUMPRODUCT(IFERROR((MONTH(M42:M141)=11)*(YEAR(M42:M141)=2026),0)*I42:I141)</f>
        <v>0</v>
      </c>
    </row>
    <row r="15" spans="1:22" ht="21.75" customHeight="1">
      <c r="A15" s="15" t="s">
        <v>19</v>
      </c>
      <c r="B15" s="19">
        <f>COUNTIF(B42:B141,"Delivered")</f>
        <v>0</v>
      </c>
      <c r="C15" s="19">
        <f>SUMIF(B42:B141,"Delivered",I42:I141)</f>
        <v>0</v>
      </c>
      <c r="D15" s="37">
        <f>IFERROR(SUMIF(B42:B141,"Delivered",I42:I141)/SUM(I42:I141),0)</f>
        <v>0</v>
      </c>
      <c r="F15" s="61" t="str">
        <f ca="1">"Signed this month: "&amp;TEXT(SUMPRODUCT((B42:B141="Deal Signed")*IFERROR((MONTH(L42:L141)=MONTH(TODAY()))*(YEAR(L42:L141)=YEAR(TODAY())),0)*I42:I141)+SUMPRODUCT((B42:B141="Delivered")*IFERROR((MONTH(L42:L141)=MONTH(TODAY()))*(YEAR(L42:L141)=YEAR(TODAY())),0)*I42:I141),"#,##0")&amp;" THB  |  Target: "&amp;TEXT('⚙ Control Panel'!$A$23,"#,##0")&amp;" THB"</f>
        <v>Signed this month: 0 THB  |  Target: 3,000,000 THB</v>
      </c>
      <c r="G15" s="62"/>
      <c r="H15" s="62"/>
      <c r="I15" s="62"/>
      <c r="J15" s="62"/>
      <c r="K15" s="62"/>
      <c r="L15" s="62"/>
      <c r="M15" s="62"/>
      <c r="N15" s="62"/>
      <c r="O15" s="62"/>
      <c r="P15" s="62"/>
      <c r="S15" s="7" t="s">
        <v>77</v>
      </c>
      <c r="T15" s="16">
        <v>3000000</v>
      </c>
      <c r="U15" s="16">
        <f>SUMPRODUCT(IFERROR((MONTH(L42:L141)=12)*(YEAR(L42:L141)=2026),0)*I42:I141)</f>
        <v>0</v>
      </c>
      <c r="V15" s="16">
        <f>SUMPRODUCT(IFERROR((MONTH(M42:M141)=12)*(YEAR(M42:M141)=2026),0)*I42:I141)</f>
        <v>0</v>
      </c>
    </row>
    <row r="17" spans="1:16" ht="14.4" customHeight="1">
      <c r="A17" s="57" t="s">
        <v>96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</row>
    <row r="21" spans="1:16" ht="15.75" customHeight="1"/>
    <row r="22" spans="1:16" ht="15.75" customHeight="1"/>
    <row r="23" spans="1:16" ht="15.75" customHeight="1"/>
    <row r="24" spans="1:16" ht="15.75" customHeight="1"/>
    <row r="25" spans="1:16" ht="15.75" customHeight="1"/>
    <row r="26" spans="1:16" ht="15.75" customHeight="1"/>
    <row r="27" spans="1:16" ht="15.75" customHeight="1"/>
    <row r="28" spans="1:16" ht="15.75" customHeight="1"/>
    <row r="29" spans="1:16" ht="15.75" customHeight="1"/>
    <row r="30" spans="1:16" ht="15.75" customHeight="1"/>
    <row r="31" spans="1:16" ht="15.75" customHeight="1"/>
    <row r="32" spans="1:16" ht="15.75" customHeight="1"/>
    <row r="33" spans="1:17" ht="15.75" customHeight="1"/>
    <row r="34" spans="1:17" ht="15.75" customHeight="1"/>
    <row r="35" spans="1:17" ht="15.75" customHeight="1"/>
    <row r="36" spans="1:17" ht="15.75" customHeight="1"/>
    <row r="37" spans="1:17" ht="15.75" customHeight="1"/>
    <row r="38" spans="1:17" ht="15.75" customHeight="1"/>
    <row r="39" spans="1:17" ht="15.75" customHeight="1"/>
    <row r="40" spans="1:17" ht="6" customHeight="1"/>
    <row r="41" spans="1:17" ht="31.5" customHeight="1">
      <c r="A41" s="18" t="s">
        <v>97</v>
      </c>
      <c r="B41" s="18" t="s">
        <v>2</v>
      </c>
      <c r="C41" s="18" t="s">
        <v>3</v>
      </c>
      <c r="D41" s="18" t="s">
        <v>4</v>
      </c>
      <c r="E41" s="18" t="s">
        <v>98</v>
      </c>
      <c r="F41" s="18" t="s">
        <v>22</v>
      </c>
      <c r="G41" s="18" t="s">
        <v>23</v>
      </c>
      <c r="H41" s="18" t="s">
        <v>24</v>
      </c>
      <c r="I41" s="18" t="s">
        <v>99</v>
      </c>
      <c r="J41" s="18" t="s">
        <v>100</v>
      </c>
      <c r="K41" s="18" t="s">
        <v>101</v>
      </c>
      <c r="L41" s="18" t="s">
        <v>102</v>
      </c>
      <c r="M41" s="18" t="s">
        <v>103</v>
      </c>
      <c r="N41" s="18" t="s">
        <v>104</v>
      </c>
      <c r="O41" s="18" t="s">
        <v>105</v>
      </c>
      <c r="P41" s="18" t="s">
        <v>106</v>
      </c>
      <c r="Q41" s="18" t="s">
        <v>107</v>
      </c>
    </row>
    <row r="42" spans="1:17" ht="15.75" customHeight="1">
      <c r="A42" s="20"/>
      <c r="B42" s="21"/>
      <c r="C42" s="21"/>
      <c r="D42" s="21"/>
      <c r="E42" s="21"/>
      <c r="F42" s="21"/>
      <c r="G42" s="21"/>
      <c r="H42" s="21"/>
      <c r="I42" s="19"/>
      <c r="J42" s="22"/>
      <c r="K42" s="19">
        <f t="shared" ref="K42:K73" si="0">IF(I42="",0,I42*J42)</f>
        <v>0</v>
      </c>
      <c r="L42" s="48"/>
      <c r="M42" s="48"/>
      <c r="N42" s="48"/>
      <c r="O42" s="20"/>
      <c r="P42" s="20"/>
    </row>
    <row r="43" spans="1:17" ht="15.75" customHeight="1">
      <c r="A43" s="20"/>
      <c r="B43" s="21"/>
      <c r="C43" s="21"/>
      <c r="D43" s="21"/>
      <c r="E43" s="21"/>
      <c r="F43" s="21"/>
      <c r="G43" s="21"/>
      <c r="H43" s="21"/>
      <c r="I43" s="19"/>
      <c r="J43" s="22"/>
      <c r="K43" s="19">
        <f t="shared" si="0"/>
        <v>0</v>
      </c>
      <c r="L43" s="48"/>
      <c r="M43" s="48"/>
      <c r="N43" s="48"/>
      <c r="O43" s="20"/>
      <c r="P43" s="20"/>
    </row>
    <row r="44" spans="1:17" ht="15.75" customHeight="1">
      <c r="A44" s="20"/>
      <c r="B44" s="21"/>
      <c r="C44" s="21"/>
      <c r="D44" s="21"/>
      <c r="E44" s="21"/>
      <c r="F44" s="21"/>
      <c r="G44" s="21"/>
      <c r="H44" s="21"/>
      <c r="I44" s="19"/>
      <c r="J44" s="22"/>
      <c r="K44" s="19">
        <f t="shared" si="0"/>
        <v>0</v>
      </c>
      <c r="L44" s="48"/>
      <c r="M44" s="48"/>
      <c r="N44" s="48"/>
      <c r="O44" s="20"/>
      <c r="P44" s="20"/>
    </row>
    <row r="45" spans="1:17" ht="15.75" customHeight="1">
      <c r="A45" s="20"/>
      <c r="B45" s="21"/>
      <c r="C45" s="21"/>
      <c r="D45" s="21"/>
      <c r="E45" s="21"/>
      <c r="F45" s="21"/>
      <c r="G45" s="21"/>
      <c r="H45" s="21"/>
      <c r="I45" s="19"/>
      <c r="J45" s="22"/>
      <c r="K45" s="19">
        <f t="shared" si="0"/>
        <v>0</v>
      </c>
      <c r="L45" s="48"/>
      <c r="M45" s="48"/>
      <c r="N45" s="48"/>
      <c r="O45" s="20"/>
      <c r="P45" s="20"/>
    </row>
    <row r="46" spans="1:17" ht="15.75" customHeight="1">
      <c r="A46" s="20"/>
      <c r="B46" s="21"/>
      <c r="C46" s="21"/>
      <c r="D46" s="21"/>
      <c r="E46" s="21"/>
      <c r="F46" s="21"/>
      <c r="G46" s="21"/>
      <c r="H46" s="21"/>
      <c r="I46" s="19"/>
      <c r="J46" s="22"/>
      <c r="K46" s="19">
        <f t="shared" si="0"/>
        <v>0</v>
      </c>
      <c r="L46" s="48"/>
      <c r="M46" s="48"/>
      <c r="N46" s="48"/>
      <c r="O46" s="20"/>
      <c r="P46" s="20"/>
    </row>
    <row r="47" spans="1:17" ht="15.75" customHeight="1">
      <c r="A47" s="20"/>
      <c r="B47" s="21"/>
      <c r="C47" s="21"/>
      <c r="D47" s="21"/>
      <c r="E47" s="21"/>
      <c r="F47" s="21"/>
      <c r="G47" s="21"/>
      <c r="H47" s="21"/>
      <c r="I47" s="19"/>
      <c r="J47" s="22"/>
      <c r="K47" s="19">
        <f t="shared" si="0"/>
        <v>0</v>
      </c>
      <c r="L47" s="48"/>
      <c r="M47" s="48"/>
      <c r="N47" s="48"/>
      <c r="O47" s="20"/>
      <c r="P47" s="20"/>
    </row>
    <row r="48" spans="1:17" ht="15.75" customHeight="1">
      <c r="A48" s="20"/>
      <c r="B48" s="21"/>
      <c r="C48" s="21"/>
      <c r="D48" s="21"/>
      <c r="E48" s="21"/>
      <c r="F48" s="21"/>
      <c r="G48" s="21"/>
      <c r="H48" s="21"/>
      <c r="I48" s="19"/>
      <c r="J48" s="22"/>
      <c r="K48" s="19">
        <f t="shared" si="0"/>
        <v>0</v>
      </c>
      <c r="L48" s="48"/>
      <c r="M48" s="48"/>
      <c r="N48" s="48"/>
      <c r="O48" s="20"/>
      <c r="P48" s="20"/>
    </row>
    <row r="49" spans="1:16" ht="15.75" customHeight="1">
      <c r="A49" s="20"/>
      <c r="B49" s="21"/>
      <c r="C49" s="21"/>
      <c r="D49" s="21"/>
      <c r="E49" s="21"/>
      <c r="F49" s="21"/>
      <c r="G49" s="21"/>
      <c r="H49" s="21"/>
      <c r="I49" s="19"/>
      <c r="J49" s="22"/>
      <c r="K49" s="19">
        <f t="shared" si="0"/>
        <v>0</v>
      </c>
      <c r="L49" s="48"/>
      <c r="M49" s="48"/>
      <c r="N49" s="48"/>
      <c r="O49" s="20"/>
      <c r="P49" s="20"/>
    </row>
    <row r="50" spans="1:16" ht="15.75" customHeight="1">
      <c r="A50" s="20"/>
      <c r="B50" s="21"/>
      <c r="C50" s="21"/>
      <c r="D50" s="21"/>
      <c r="E50" s="21"/>
      <c r="F50" s="21"/>
      <c r="G50" s="21"/>
      <c r="H50" s="21"/>
      <c r="I50" s="19"/>
      <c r="J50" s="22"/>
      <c r="K50" s="19">
        <f t="shared" si="0"/>
        <v>0</v>
      </c>
      <c r="L50" s="48"/>
      <c r="M50" s="48"/>
      <c r="N50" s="48"/>
      <c r="O50" s="20"/>
      <c r="P50" s="20"/>
    </row>
    <row r="51" spans="1:16" ht="15.75" customHeight="1">
      <c r="A51" s="20"/>
      <c r="B51" s="21"/>
      <c r="C51" s="21"/>
      <c r="D51" s="21"/>
      <c r="E51" s="21"/>
      <c r="F51" s="21"/>
      <c r="G51" s="21"/>
      <c r="H51" s="21"/>
      <c r="I51" s="19"/>
      <c r="J51" s="22"/>
      <c r="K51" s="19">
        <f t="shared" si="0"/>
        <v>0</v>
      </c>
      <c r="L51" s="48"/>
      <c r="M51" s="48"/>
      <c r="N51" s="48"/>
      <c r="O51" s="20"/>
      <c r="P51" s="20"/>
    </row>
    <row r="52" spans="1:16" ht="15.75" customHeight="1">
      <c r="A52" s="20"/>
      <c r="B52" s="21"/>
      <c r="C52" s="21"/>
      <c r="D52" s="21"/>
      <c r="E52" s="21"/>
      <c r="F52" s="21"/>
      <c r="G52" s="21"/>
      <c r="H52" s="21"/>
      <c r="I52" s="19"/>
      <c r="J52" s="22"/>
      <c r="K52" s="19">
        <f t="shared" si="0"/>
        <v>0</v>
      </c>
      <c r="L52" s="48"/>
      <c r="M52" s="48"/>
      <c r="N52" s="48"/>
      <c r="O52" s="20"/>
      <c r="P52" s="20"/>
    </row>
    <row r="53" spans="1:16" ht="15.75" customHeight="1">
      <c r="A53" s="20"/>
      <c r="B53" s="21"/>
      <c r="C53" s="21"/>
      <c r="D53" s="21"/>
      <c r="E53" s="21"/>
      <c r="F53" s="21"/>
      <c r="G53" s="21"/>
      <c r="H53" s="21"/>
      <c r="I53" s="19"/>
      <c r="J53" s="22"/>
      <c r="K53" s="19">
        <f t="shared" si="0"/>
        <v>0</v>
      </c>
      <c r="L53" s="48"/>
      <c r="M53" s="48"/>
      <c r="N53" s="48"/>
      <c r="O53" s="20"/>
      <c r="P53" s="20"/>
    </row>
    <row r="54" spans="1:16" ht="15.75" customHeight="1">
      <c r="A54" s="20"/>
      <c r="B54" s="21"/>
      <c r="C54" s="21"/>
      <c r="D54" s="21"/>
      <c r="E54" s="21"/>
      <c r="F54" s="21"/>
      <c r="G54" s="21"/>
      <c r="H54" s="21"/>
      <c r="I54" s="19"/>
      <c r="J54" s="22"/>
      <c r="K54" s="19">
        <f t="shared" si="0"/>
        <v>0</v>
      </c>
      <c r="L54" s="48"/>
      <c r="M54" s="48"/>
      <c r="N54" s="48"/>
      <c r="O54" s="20"/>
      <c r="P54" s="20"/>
    </row>
    <row r="55" spans="1:16" ht="15.75" customHeight="1">
      <c r="A55" s="20"/>
      <c r="B55" s="21"/>
      <c r="C55" s="21"/>
      <c r="D55" s="21"/>
      <c r="E55" s="21"/>
      <c r="F55" s="21"/>
      <c r="G55" s="21"/>
      <c r="H55" s="21"/>
      <c r="I55" s="19"/>
      <c r="J55" s="22"/>
      <c r="K55" s="19">
        <f t="shared" si="0"/>
        <v>0</v>
      </c>
      <c r="L55" s="48"/>
      <c r="M55" s="48"/>
      <c r="N55" s="48"/>
      <c r="O55" s="20"/>
      <c r="P55" s="20"/>
    </row>
    <row r="56" spans="1:16" ht="15.75" customHeight="1">
      <c r="A56" s="20"/>
      <c r="B56" s="21"/>
      <c r="C56" s="21"/>
      <c r="D56" s="21"/>
      <c r="E56" s="21"/>
      <c r="F56" s="21"/>
      <c r="G56" s="21"/>
      <c r="H56" s="21"/>
      <c r="I56" s="19"/>
      <c r="J56" s="22"/>
      <c r="K56" s="19">
        <f t="shared" si="0"/>
        <v>0</v>
      </c>
      <c r="L56" s="48"/>
      <c r="M56" s="48"/>
      <c r="N56" s="48"/>
      <c r="O56" s="20"/>
      <c r="P56" s="20"/>
    </row>
    <row r="57" spans="1:16" ht="15.75" customHeight="1">
      <c r="A57" s="20"/>
      <c r="B57" s="21"/>
      <c r="C57" s="21"/>
      <c r="D57" s="21"/>
      <c r="E57" s="21"/>
      <c r="F57" s="21"/>
      <c r="G57" s="21"/>
      <c r="H57" s="21"/>
      <c r="I57" s="19"/>
      <c r="J57" s="22"/>
      <c r="K57" s="19">
        <f t="shared" si="0"/>
        <v>0</v>
      </c>
      <c r="L57" s="48"/>
      <c r="M57" s="48"/>
      <c r="N57" s="48"/>
      <c r="O57" s="20"/>
      <c r="P57" s="20"/>
    </row>
    <row r="58" spans="1:16" ht="15.75" customHeight="1">
      <c r="A58" s="20"/>
      <c r="B58" s="21"/>
      <c r="C58" s="21"/>
      <c r="D58" s="21"/>
      <c r="E58" s="21"/>
      <c r="F58" s="21"/>
      <c r="G58" s="21"/>
      <c r="H58" s="21"/>
      <c r="I58" s="19"/>
      <c r="J58" s="22"/>
      <c r="K58" s="19">
        <f t="shared" si="0"/>
        <v>0</v>
      </c>
      <c r="L58" s="48"/>
      <c r="M58" s="48"/>
      <c r="N58" s="48"/>
      <c r="O58" s="20"/>
      <c r="P58" s="20"/>
    </row>
    <row r="59" spans="1:16" ht="15.75" customHeight="1">
      <c r="A59" s="20"/>
      <c r="B59" s="21"/>
      <c r="C59" s="21"/>
      <c r="D59" s="21"/>
      <c r="E59" s="21"/>
      <c r="F59" s="21"/>
      <c r="G59" s="21"/>
      <c r="H59" s="21"/>
      <c r="I59" s="19"/>
      <c r="J59" s="22"/>
      <c r="K59" s="19">
        <f t="shared" si="0"/>
        <v>0</v>
      </c>
      <c r="L59" s="48"/>
      <c r="M59" s="48"/>
      <c r="N59" s="48"/>
      <c r="O59" s="20"/>
      <c r="P59" s="20"/>
    </row>
    <row r="60" spans="1:16" ht="15.75" customHeight="1">
      <c r="A60" s="20"/>
      <c r="B60" s="21"/>
      <c r="C60" s="21"/>
      <c r="D60" s="21"/>
      <c r="E60" s="21"/>
      <c r="F60" s="21"/>
      <c r="G60" s="21"/>
      <c r="H60" s="21"/>
      <c r="I60" s="19"/>
      <c r="J60" s="22"/>
      <c r="K60" s="19">
        <f t="shared" si="0"/>
        <v>0</v>
      </c>
      <c r="L60" s="48"/>
      <c r="M60" s="48"/>
      <c r="N60" s="48"/>
      <c r="O60" s="20"/>
      <c r="P60" s="20"/>
    </row>
    <row r="61" spans="1:16" ht="15.75" customHeight="1">
      <c r="A61" s="20"/>
      <c r="B61" s="21"/>
      <c r="C61" s="21"/>
      <c r="D61" s="21"/>
      <c r="E61" s="21"/>
      <c r="F61" s="21"/>
      <c r="G61" s="21"/>
      <c r="H61" s="21"/>
      <c r="I61" s="19"/>
      <c r="J61" s="22"/>
      <c r="K61" s="19">
        <f t="shared" si="0"/>
        <v>0</v>
      </c>
      <c r="L61" s="48"/>
      <c r="M61" s="48"/>
      <c r="N61" s="48"/>
      <c r="O61" s="20"/>
      <c r="P61" s="20"/>
    </row>
    <row r="62" spans="1:16" ht="15.75" customHeight="1">
      <c r="A62" s="20"/>
      <c r="B62" s="21"/>
      <c r="C62" s="21"/>
      <c r="D62" s="21"/>
      <c r="E62" s="21"/>
      <c r="F62" s="21"/>
      <c r="G62" s="21"/>
      <c r="H62" s="21"/>
      <c r="I62" s="19"/>
      <c r="J62" s="22"/>
      <c r="K62" s="19">
        <f t="shared" si="0"/>
        <v>0</v>
      </c>
      <c r="L62" s="48"/>
      <c r="M62" s="48"/>
      <c r="N62" s="48"/>
      <c r="O62" s="20"/>
      <c r="P62" s="20"/>
    </row>
    <row r="63" spans="1:16" ht="15.75" customHeight="1">
      <c r="A63" s="20"/>
      <c r="B63" s="21"/>
      <c r="C63" s="21"/>
      <c r="D63" s="21"/>
      <c r="E63" s="21"/>
      <c r="F63" s="21"/>
      <c r="G63" s="21"/>
      <c r="H63" s="21"/>
      <c r="I63" s="19"/>
      <c r="J63" s="22"/>
      <c r="K63" s="19">
        <f t="shared" si="0"/>
        <v>0</v>
      </c>
      <c r="L63" s="48"/>
      <c r="M63" s="48"/>
      <c r="N63" s="48"/>
      <c r="O63" s="20"/>
      <c r="P63" s="20"/>
    </row>
    <row r="64" spans="1:16" ht="15.75" customHeight="1">
      <c r="A64" s="20"/>
      <c r="B64" s="21"/>
      <c r="C64" s="21"/>
      <c r="D64" s="21"/>
      <c r="E64" s="21"/>
      <c r="F64" s="21"/>
      <c r="G64" s="21"/>
      <c r="H64" s="21"/>
      <c r="I64" s="19"/>
      <c r="J64" s="22"/>
      <c r="K64" s="19">
        <f t="shared" si="0"/>
        <v>0</v>
      </c>
      <c r="L64" s="48"/>
      <c r="M64" s="48"/>
      <c r="N64" s="48"/>
      <c r="O64" s="20"/>
      <c r="P64" s="20"/>
    </row>
    <row r="65" spans="1:16" ht="15.75" customHeight="1">
      <c r="A65" s="20"/>
      <c r="B65" s="21"/>
      <c r="C65" s="21"/>
      <c r="D65" s="21"/>
      <c r="E65" s="21"/>
      <c r="F65" s="21"/>
      <c r="G65" s="21"/>
      <c r="H65" s="21"/>
      <c r="I65" s="19"/>
      <c r="J65" s="22"/>
      <c r="K65" s="19">
        <f t="shared" si="0"/>
        <v>0</v>
      </c>
      <c r="L65" s="48"/>
      <c r="M65" s="48"/>
      <c r="N65" s="48"/>
      <c r="O65" s="20"/>
      <c r="P65" s="20"/>
    </row>
    <row r="66" spans="1:16" ht="15.75" customHeight="1">
      <c r="A66" s="20"/>
      <c r="B66" s="21"/>
      <c r="C66" s="21"/>
      <c r="D66" s="21"/>
      <c r="E66" s="21"/>
      <c r="F66" s="21"/>
      <c r="G66" s="21"/>
      <c r="H66" s="21"/>
      <c r="I66" s="19"/>
      <c r="J66" s="22"/>
      <c r="K66" s="19">
        <f t="shared" si="0"/>
        <v>0</v>
      </c>
      <c r="L66" s="48"/>
      <c r="M66" s="48"/>
      <c r="N66" s="48"/>
      <c r="O66" s="20"/>
      <c r="P66" s="20"/>
    </row>
    <row r="67" spans="1:16" ht="15.75" customHeight="1">
      <c r="A67" s="20"/>
      <c r="B67" s="21"/>
      <c r="C67" s="21"/>
      <c r="D67" s="21"/>
      <c r="E67" s="21"/>
      <c r="F67" s="21"/>
      <c r="G67" s="21"/>
      <c r="H67" s="21"/>
      <c r="I67" s="19"/>
      <c r="J67" s="22"/>
      <c r="K67" s="19">
        <f t="shared" si="0"/>
        <v>0</v>
      </c>
      <c r="L67" s="48"/>
      <c r="M67" s="48"/>
      <c r="N67" s="48"/>
      <c r="O67" s="20"/>
      <c r="P67" s="20"/>
    </row>
    <row r="68" spans="1:16" ht="15.75" customHeight="1">
      <c r="A68" s="20"/>
      <c r="B68" s="21"/>
      <c r="C68" s="21"/>
      <c r="D68" s="21"/>
      <c r="E68" s="21"/>
      <c r="F68" s="21"/>
      <c r="G68" s="21"/>
      <c r="H68" s="21"/>
      <c r="I68" s="19"/>
      <c r="J68" s="22"/>
      <c r="K68" s="19">
        <f t="shared" si="0"/>
        <v>0</v>
      </c>
      <c r="L68" s="48"/>
      <c r="M68" s="48"/>
      <c r="N68" s="48"/>
      <c r="O68" s="20"/>
      <c r="P68" s="20"/>
    </row>
    <row r="69" spans="1:16" ht="15.75" customHeight="1">
      <c r="A69" s="20"/>
      <c r="B69" s="21"/>
      <c r="C69" s="21"/>
      <c r="D69" s="21"/>
      <c r="E69" s="21"/>
      <c r="F69" s="21"/>
      <c r="G69" s="21"/>
      <c r="H69" s="21"/>
      <c r="I69" s="19"/>
      <c r="J69" s="22"/>
      <c r="K69" s="19">
        <f t="shared" si="0"/>
        <v>0</v>
      </c>
      <c r="L69" s="48"/>
      <c r="M69" s="48"/>
      <c r="N69" s="48"/>
      <c r="O69" s="20"/>
      <c r="P69" s="20"/>
    </row>
    <row r="70" spans="1:16" ht="15.75" customHeight="1">
      <c r="A70" s="20"/>
      <c r="B70" s="21"/>
      <c r="C70" s="21"/>
      <c r="D70" s="21"/>
      <c r="E70" s="21"/>
      <c r="F70" s="21"/>
      <c r="G70" s="21"/>
      <c r="H70" s="21"/>
      <c r="I70" s="19"/>
      <c r="J70" s="22"/>
      <c r="K70" s="19">
        <f t="shared" si="0"/>
        <v>0</v>
      </c>
      <c r="L70" s="48"/>
      <c r="M70" s="48"/>
      <c r="N70" s="48"/>
      <c r="O70" s="20"/>
      <c r="P70" s="20"/>
    </row>
    <row r="71" spans="1:16" ht="15.75" customHeight="1">
      <c r="A71" s="20"/>
      <c r="B71" s="21"/>
      <c r="C71" s="21"/>
      <c r="D71" s="21"/>
      <c r="E71" s="21"/>
      <c r="F71" s="21"/>
      <c r="G71" s="21"/>
      <c r="H71" s="21"/>
      <c r="I71" s="19"/>
      <c r="J71" s="22"/>
      <c r="K71" s="19">
        <f t="shared" si="0"/>
        <v>0</v>
      </c>
      <c r="L71" s="48"/>
      <c r="M71" s="48"/>
      <c r="N71" s="48"/>
      <c r="O71" s="20"/>
      <c r="P71" s="20"/>
    </row>
    <row r="72" spans="1:16" ht="15.75" customHeight="1">
      <c r="A72" s="20"/>
      <c r="B72" s="21"/>
      <c r="C72" s="21"/>
      <c r="D72" s="21"/>
      <c r="E72" s="21"/>
      <c r="F72" s="21"/>
      <c r="G72" s="21"/>
      <c r="H72" s="21"/>
      <c r="I72" s="19"/>
      <c r="J72" s="22"/>
      <c r="K72" s="19">
        <f t="shared" si="0"/>
        <v>0</v>
      </c>
      <c r="L72" s="48"/>
      <c r="M72" s="48"/>
      <c r="N72" s="48"/>
      <c r="O72" s="20"/>
      <c r="P72" s="20"/>
    </row>
    <row r="73" spans="1:16" ht="15.75" customHeight="1">
      <c r="A73" s="20"/>
      <c r="B73" s="21"/>
      <c r="C73" s="21"/>
      <c r="D73" s="21"/>
      <c r="E73" s="21"/>
      <c r="F73" s="21"/>
      <c r="G73" s="21"/>
      <c r="H73" s="21"/>
      <c r="I73" s="19"/>
      <c r="J73" s="22"/>
      <c r="K73" s="19">
        <f t="shared" si="0"/>
        <v>0</v>
      </c>
      <c r="L73" s="48"/>
      <c r="M73" s="48"/>
      <c r="N73" s="48"/>
      <c r="O73" s="20"/>
      <c r="P73" s="20"/>
    </row>
    <row r="74" spans="1:16" ht="15.75" customHeight="1">
      <c r="A74" s="20"/>
      <c r="B74" s="21"/>
      <c r="C74" s="21"/>
      <c r="D74" s="21"/>
      <c r="E74" s="21"/>
      <c r="F74" s="21"/>
      <c r="G74" s="21"/>
      <c r="H74" s="21"/>
      <c r="I74" s="19"/>
      <c r="J74" s="22"/>
      <c r="K74" s="19">
        <f t="shared" ref="K74:K105" si="1">IF(I74="",0,I74*J74)</f>
        <v>0</v>
      </c>
      <c r="L74" s="48"/>
      <c r="M74" s="48"/>
      <c r="N74" s="48"/>
      <c r="O74" s="20"/>
      <c r="P74" s="20"/>
    </row>
    <row r="75" spans="1:16" ht="15.75" customHeight="1">
      <c r="A75" s="20"/>
      <c r="B75" s="21"/>
      <c r="C75" s="21"/>
      <c r="D75" s="21"/>
      <c r="E75" s="21"/>
      <c r="F75" s="21"/>
      <c r="G75" s="21"/>
      <c r="H75" s="21"/>
      <c r="I75" s="19"/>
      <c r="J75" s="22"/>
      <c r="K75" s="19">
        <f t="shared" si="1"/>
        <v>0</v>
      </c>
      <c r="L75" s="48"/>
      <c r="M75" s="48"/>
      <c r="N75" s="48"/>
      <c r="O75" s="20"/>
      <c r="P75" s="20"/>
    </row>
    <row r="76" spans="1:16" ht="15.75" customHeight="1">
      <c r="A76" s="20"/>
      <c r="B76" s="21"/>
      <c r="C76" s="21"/>
      <c r="D76" s="21"/>
      <c r="E76" s="21"/>
      <c r="F76" s="21"/>
      <c r="G76" s="21"/>
      <c r="H76" s="21"/>
      <c r="I76" s="19"/>
      <c r="J76" s="22"/>
      <c r="K76" s="19">
        <f t="shared" si="1"/>
        <v>0</v>
      </c>
      <c r="L76" s="48"/>
      <c r="M76" s="48"/>
      <c r="N76" s="48"/>
      <c r="O76" s="20"/>
      <c r="P76" s="20"/>
    </row>
    <row r="77" spans="1:16" ht="15.75" customHeight="1">
      <c r="A77" s="20"/>
      <c r="B77" s="21"/>
      <c r="C77" s="21"/>
      <c r="D77" s="21"/>
      <c r="E77" s="21"/>
      <c r="F77" s="21"/>
      <c r="G77" s="21"/>
      <c r="H77" s="21"/>
      <c r="I77" s="19"/>
      <c r="J77" s="22"/>
      <c r="K77" s="19">
        <f t="shared" si="1"/>
        <v>0</v>
      </c>
      <c r="L77" s="48"/>
      <c r="M77" s="48"/>
      <c r="N77" s="48"/>
      <c r="O77" s="20"/>
      <c r="P77" s="20"/>
    </row>
    <row r="78" spans="1:16" ht="15.75" customHeight="1">
      <c r="A78" s="20"/>
      <c r="B78" s="21"/>
      <c r="C78" s="21"/>
      <c r="D78" s="21"/>
      <c r="E78" s="21"/>
      <c r="F78" s="21"/>
      <c r="G78" s="21"/>
      <c r="H78" s="21"/>
      <c r="I78" s="19"/>
      <c r="J78" s="22"/>
      <c r="K78" s="19">
        <f t="shared" si="1"/>
        <v>0</v>
      </c>
      <c r="L78" s="48"/>
      <c r="M78" s="48"/>
      <c r="N78" s="48"/>
      <c r="O78" s="20"/>
      <c r="P78" s="20"/>
    </row>
    <row r="79" spans="1:16" ht="15.75" customHeight="1">
      <c r="A79" s="20"/>
      <c r="B79" s="21"/>
      <c r="C79" s="21"/>
      <c r="D79" s="21"/>
      <c r="E79" s="21"/>
      <c r="F79" s="21"/>
      <c r="G79" s="21"/>
      <c r="H79" s="21"/>
      <c r="I79" s="19"/>
      <c r="J79" s="22"/>
      <c r="K79" s="19">
        <f t="shared" si="1"/>
        <v>0</v>
      </c>
      <c r="L79" s="48"/>
      <c r="M79" s="48"/>
      <c r="N79" s="48"/>
      <c r="O79" s="20"/>
      <c r="P79" s="20"/>
    </row>
    <row r="80" spans="1:16" ht="15.75" customHeight="1">
      <c r="A80" s="20"/>
      <c r="B80" s="21"/>
      <c r="C80" s="21"/>
      <c r="D80" s="21"/>
      <c r="E80" s="21"/>
      <c r="F80" s="21"/>
      <c r="G80" s="21"/>
      <c r="H80" s="21"/>
      <c r="I80" s="19"/>
      <c r="J80" s="22"/>
      <c r="K80" s="19">
        <f t="shared" si="1"/>
        <v>0</v>
      </c>
      <c r="L80" s="48"/>
      <c r="M80" s="48"/>
      <c r="N80" s="48"/>
      <c r="O80" s="20"/>
      <c r="P80" s="20"/>
    </row>
    <row r="81" spans="1:16" ht="15.75" customHeight="1">
      <c r="A81" s="20"/>
      <c r="B81" s="21"/>
      <c r="C81" s="21"/>
      <c r="D81" s="21"/>
      <c r="E81" s="21"/>
      <c r="F81" s="21"/>
      <c r="G81" s="21"/>
      <c r="H81" s="21"/>
      <c r="I81" s="19"/>
      <c r="J81" s="22"/>
      <c r="K81" s="19">
        <f t="shared" si="1"/>
        <v>0</v>
      </c>
      <c r="L81" s="48"/>
      <c r="M81" s="48"/>
      <c r="N81" s="48"/>
      <c r="O81" s="20"/>
      <c r="P81" s="20"/>
    </row>
    <row r="82" spans="1:16" ht="15.75" customHeight="1">
      <c r="A82" s="20"/>
      <c r="B82" s="21"/>
      <c r="C82" s="21"/>
      <c r="D82" s="21"/>
      <c r="E82" s="21"/>
      <c r="F82" s="21"/>
      <c r="G82" s="21"/>
      <c r="H82" s="21"/>
      <c r="I82" s="19"/>
      <c r="J82" s="22"/>
      <c r="K82" s="19">
        <f t="shared" si="1"/>
        <v>0</v>
      </c>
      <c r="L82" s="48"/>
      <c r="M82" s="48"/>
      <c r="N82" s="48"/>
      <c r="O82" s="20"/>
      <c r="P82" s="20"/>
    </row>
    <row r="83" spans="1:16" ht="15.75" customHeight="1">
      <c r="A83" s="20"/>
      <c r="B83" s="21"/>
      <c r="C83" s="21"/>
      <c r="D83" s="21"/>
      <c r="E83" s="21"/>
      <c r="F83" s="21"/>
      <c r="G83" s="21"/>
      <c r="H83" s="21"/>
      <c r="I83" s="19"/>
      <c r="J83" s="22"/>
      <c r="K83" s="19">
        <f t="shared" si="1"/>
        <v>0</v>
      </c>
      <c r="L83" s="48"/>
      <c r="M83" s="48"/>
      <c r="N83" s="48"/>
      <c r="O83" s="20"/>
      <c r="P83" s="20"/>
    </row>
    <row r="84" spans="1:16" ht="15.75" customHeight="1">
      <c r="A84" s="20"/>
      <c r="B84" s="21"/>
      <c r="C84" s="21"/>
      <c r="D84" s="21"/>
      <c r="E84" s="21"/>
      <c r="F84" s="21"/>
      <c r="G84" s="21"/>
      <c r="H84" s="21"/>
      <c r="I84" s="19"/>
      <c r="J84" s="22"/>
      <c r="K84" s="19">
        <f t="shared" si="1"/>
        <v>0</v>
      </c>
      <c r="L84" s="48"/>
      <c r="M84" s="48"/>
      <c r="N84" s="48"/>
      <c r="O84" s="20"/>
      <c r="P84" s="20"/>
    </row>
    <row r="85" spans="1:16" ht="15.75" customHeight="1">
      <c r="A85" s="20"/>
      <c r="B85" s="21"/>
      <c r="C85" s="21"/>
      <c r="D85" s="21"/>
      <c r="E85" s="21"/>
      <c r="F85" s="21"/>
      <c r="G85" s="21"/>
      <c r="H85" s="21"/>
      <c r="I85" s="19"/>
      <c r="J85" s="22"/>
      <c r="K85" s="19">
        <f t="shared" si="1"/>
        <v>0</v>
      </c>
      <c r="L85" s="48"/>
      <c r="M85" s="48"/>
      <c r="N85" s="48"/>
      <c r="O85" s="20"/>
      <c r="P85" s="20"/>
    </row>
    <row r="86" spans="1:16" ht="15.75" customHeight="1">
      <c r="A86" s="20"/>
      <c r="B86" s="21"/>
      <c r="C86" s="21"/>
      <c r="D86" s="21"/>
      <c r="E86" s="21"/>
      <c r="F86" s="21"/>
      <c r="G86" s="21"/>
      <c r="H86" s="21"/>
      <c r="I86" s="19"/>
      <c r="J86" s="22"/>
      <c r="K86" s="19">
        <f t="shared" si="1"/>
        <v>0</v>
      </c>
      <c r="L86" s="48"/>
      <c r="M86" s="48"/>
      <c r="N86" s="48"/>
      <c r="O86" s="20"/>
      <c r="P86" s="20"/>
    </row>
    <row r="87" spans="1:16" ht="15.75" customHeight="1">
      <c r="A87" s="20"/>
      <c r="B87" s="21"/>
      <c r="C87" s="21"/>
      <c r="D87" s="21"/>
      <c r="E87" s="21"/>
      <c r="F87" s="21"/>
      <c r="G87" s="21"/>
      <c r="H87" s="21"/>
      <c r="I87" s="19"/>
      <c r="J87" s="22"/>
      <c r="K87" s="19">
        <f t="shared" si="1"/>
        <v>0</v>
      </c>
      <c r="L87" s="48"/>
      <c r="M87" s="48"/>
      <c r="N87" s="48"/>
      <c r="O87" s="20"/>
      <c r="P87" s="20"/>
    </row>
    <row r="88" spans="1:16" ht="15.75" customHeight="1">
      <c r="A88" s="20"/>
      <c r="B88" s="21"/>
      <c r="C88" s="21"/>
      <c r="D88" s="21"/>
      <c r="E88" s="21"/>
      <c r="F88" s="21"/>
      <c r="G88" s="21"/>
      <c r="H88" s="21"/>
      <c r="I88" s="19"/>
      <c r="J88" s="22"/>
      <c r="K88" s="19">
        <f t="shared" si="1"/>
        <v>0</v>
      </c>
      <c r="L88" s="48"/>
      <c r="M88" s="48"/>
      <c r="N88" s="48"/>
      <c r="O88" s="20"/>
      <c r="P88" s="20"/>
    </row>
    <row r="89" spans="1:16" ht="15.75" customHeight="1">
      <c r="A89" s="20"/>
      <c r="B89" s="21"/>
      <c r="C89" s="21"/>
      <c r="D89" s="21"/>
      <c r="E89" s="21"/>
      <c r="F89" s="21"/>
      <c r="G89" s="21"/>
      <c r="H89" s="21"/>
      <c r="I89" s="19"/>
      <c r="J89" s="22"/>
      <c r="K89" s="19">
        <f t="shared" si="1"/>
        <v>0</v>
      </c>
      <c r="L89" s="48"/>
      <c r="M89" s="48"/>
      <c r="N89" s="48"/>
      <c r="O89" s="20"/>
      <c r="P89" s="20"/>
    </row>
    <row r="90" spans="1:16" ht="15.75" customHeight="1">
      <c r="A90" s="20"/>
      <c r="B90" s="21"/>
      <c r="C90" s="21"/>
      <c r="D90" s="21"/>
      <c r="E90" s="21"/>
      <c r="F90" s="21"/>
      <c r="G90" s="21"/>
      <c r="H90" s="21"/>
      <c r="I90" s="19"/>
      <c r="J90" s="22"/>
      <c r="K90" s="19">
        <f t="shared" si="1"/>
        <v>0</v>
      </c>
      <c r="L90" s="48"/>
      <c r="M90" s="48"/>
      <c r="N90" s="48"/>
      <c r="O90" s="20"/>
      <c r="P90" s="20"/>
    </row>
    <row r="91" spans="1:16" ht="15.75" customHeight="1">
      <c r="A91" s="20"/>
      <c r="B91" s="21"/>
      <c r="C91" s="21"/>
      <c r="D91" s="21"/>
      <c r="E91" s="21"/>
      <c r="F91" s="21"/>
      <c r="G91" s="21"/>
      <c r="H91" s="21"/>
      <c r="I91" s="19"/>
      <c r="J91" s="22"/>
      <c r="K91" s="19">
        <f t="shared" si="1"/>
        <v>0</v>
      </c>
      <c r="L91" s="48"/>
      <c r="M91" s="48"/>
      <c r="N91" s="48"/>
      <c r="O91" s="20"/>
      <c r="P91" s="20"/>
    </row>
    <row r="92" spans="1:16" ht="15.75" customHeight="1">
      <c r="A92" s="20"/>
      <c r="B92" s="21"/>
      <c r="C92" s="21"/>
      <c r="D92" s="21"/>
      <c r="E92" s="21"/>
      <c r="F92" s="21"/>
      <c r="G92" s="21"/>
      <c r="H92" s="21"/>
      <c r="I92" s="19"/>
      <c r="J92" s="22"/>
      <c r="K92" s="19">
        <f t="shared" si="1"/>
        <v>0</v>
      </c>
      <c r="L92" s="48"/>
      <c r="M92" s="48"/>
      <c r="N92" s="48"/>
      <c r="O92" s="20"/>
      <c r="P92" s="20"/>
    </row>
    <row r="93" spans="1:16" ht="15.75" customHeight="1">
      <c r="A93" s="20"/>
      <c r="B93" s="21"/>
      <c r="C93" s="21"/>
      <c r="D93" s="21"/>
      <c r="E93" s="21"/>
      <c r="F93" s="21"/>
      <c r="G93" s="21"/>
      <c r="H93" s="21"/>
      <c r="I93" s="19"/>
      <c r="J93" s="22"/>
      <c r="K93" s="19">
        <f t="shared" si="1"/>
        <v>0</v>
      </c>
      <c r="L93" s="48"/>
      <c r="M93" s="48"/>
      <c r="N93" s="48"/>
      <c r="O93" s="20"/>
      <c r="P93" s="20"/>
    </row>
    <row r="94" spans="1:16" ht="15.75" customHeight="1">
      <c r="A94" s="20"/>
      <c r="B94" s="21"/>
      <c r="C94" s="21"/>
      <c r="D94" s="21"/>
      <c r="E94" s="21"/>
      <c r="F94" s="21"/>
      <c r="G94" s="21"/>
      <c r="H94" s="21"/>
      <c r="I94" s="19"/>
      <c r="J94" s="22"/>
      <c r="K94" s="19">
        <f t="shared" si="1"/>
        <v>0</v>
      </c>
      <c r="L94" s="48"/>
      <c r="M94" s="48"/>
      <c r="N94" s="48"/>
      <c r="O94" s="20"/>
      <c r="P94" s="20"/>
    </row>
    <row r="95" spans="1:16" ht="15.75" customHeight="1">
      <c r="A95" s="20"/>
      <c r="B95" s="21"/>
      <c r="C95" s="21"/>
      <c r="D95" s="21"/>
      <c r="E95" s="21"/>
      <c r="F95" s="21"/>
      <c r="G95" s="21"/>
      <c r="H95" s="21"/>
      <c r="I95" s="19"/>
      <c r="J95" s="22"/>
      <c r="K95" s="19">
        <f t="shared" si="1"/>
        <v>0</v>
      </c>
      <c r="L95" s="48"/>
      <c r="M95" s="48"/>
      <c r="N95" s="48"/>
      <c r="O95" s="20"/>
      <c r="P95" s="20"/>
    </row>
    <row r="96" spans="1:16" ht="15.75" customHeight="1">
      <c r="A96" s="20"/>
      <c r="B96" s="21"/>
      <c r="C96" s="21"/>
      <c r="D96" s="21"/>
      <c r="E96" s="21"/>
      <c r="F96" s="21"/>
      <c r="G96" s="21"/>
      <c r="H96" s="21"/>
      <c r="I96" s="19"/>
      <c r="J96" s="22"/>
      <c r="K96" s="19">
        <f t="shared" si="1"/>
        <v>0</v>
      </c>
      <c r="L96" s="48"/>
      <c r="M96" s="48"/>
      <c r="N96" s="48"/>
      <c r="O96" s="20"/>
      <c r="P96" s="20"/>
    </row>
    <row r="97" spans="1:16" ht="15.75" customHeight="1">
      <c r="A97" s="20"/>
      <c r="B97" s="21"/>
      <c r="C97" s="21"/>
      <c r="D97" s="21"/>
      <c r="E97" s="21"/>
      <c r="F97" s="21"/>
      <c r="G97" s="21"/>
      <c r="H97" s="21"/>
      <c r="I97" s="19"/>
      <c r="J97" s="22"/>
      <c r="K97" s="19">
        <f t="shared" si="1"/>
        <v>0</v>
      </c>
      <c r="L97" s="48"/>
      <c r="M97" s="48"/>
      <c r="N97" s="48"/>
      <c r="O97" s="20"/>
      <c r="P97" s="20"/>
    </row>
    <row r="98" spans="1:16" ht="15.75" customHeight="1">
      <c r="A98" s="20"/>
      <c r="B98" s="21"/>
      <c r="C98" s="21"/>
      <c r="D98" s="21"/>
      <c r="E98" s="21"/>
      <c r="F98" s="21"/>
      <c r="G98" s="21"/>
      <c r="H98" s="21"/>
      <c r="I98" s="19"/>
      <c r="J98" s="22"/>
      <c r="K98" s="19">
        <f t="shared" si="1"/>
        <v>0</v>
      </c>
      <c r="L98" s="48"/>
      <c r="M98" s="48"/>
      <c r="N98" s="48"/>
      <c r="O98" s="20"/>
      <c r="P98" s="20"/>
    </row>
    <row r="99" spans="1:16" ht="15.75" customHeight="1">
      <c r="A99" s="20"/>
      <c r="B99" s="21"/>
      <c r="C99" s="21"/>
      <c r="D99" s="21"/>
      <c r="E99" s="21"/>
      <c r="F99" s="21"/>
      <c r="G99" s="21"/>
      <c r="H99" s="21"/>
      <c r="I99" s="19"/>
      <c r="J99" s="22"/>
      <c r="K99" s="19">
        <f t="shared" si="1"/>
        <v>0</v>
      </c>
      <c r="L99" s="48"/>
      <c r="M99" s="48"/>
      <c r="N99" s="48"/>
      <c r="O99" s="20"/>
      <c r="P99" s="20"/>
    </row>
    <row r="100" spans="1:16" ht="15.75" customHeight="1">
      <c r="A100" s="20"/>
      <c r="B100" s="21"/>
      <c r="C100" s="21"/>
      <c r="D100" s="21"/>
      <c r="E100" s="21"/>
      <c r="F100" s="21"/>
      <c r="G100" s="21"/>
      <c r="H100" s="21"/>
      <c r="I100" s="19"/>
      <c r="J100" s="22"/>
      <c r="K100" s="19">
        <f t="shared" si="1"/>
        <v>0</v>
      </c>
      <c r="L100" s="48"/>
      <c r="M100" s="48"/>
      <c r="N100" s="48"/>
      <c r="O100" s="20"/>
      <c r="P100" s="20"/>
    </row>
    <row r="101" spans="1:16" ht="15.75" customHeight="1">
      <c r="A101" s="20"/>
      <c r="B101" s="21"/>
      <c r="C101" s="21"/>
      <c r="D101" s="21"/>
      <c r="E101" s="21"/>
      <c r="F101" s="21"/>
      <c r="G101" s="21"/>
      <c r="H101" s="21"/>
      <c r="I101" s="19"/>
      <c r="J101" s="22"/>
      <c r="K101" s="19">
        <f t="shared" si="1"/>
        <v>0</v>
      </c>
      <c r="L101" s="48"/>
      <c r="M101" s="48"/>
      <c r="N101" s="48"/>
      <c r="O101" s="20"/>
      <c r="P101" s="20"/>
    </row>
    <row r="102" spans="1:16" ht="15.75" customHeight="1">
      <c r="A102" s="20"/>
      <c r="B102" s="21"/>
      <c r="C102" s="21"/>
      <c r="D102" s="21"/>
      <c r="E102" s="21"/>
      <c r="F102" s="21"/>
      <c r="G102" s="21"/>
      <c r="H102" s="21"/>
      <c r="I102" s="19"/>
      <c r="J102" s="22"/>
      <c r="K102" s="19">
        <f t="shared" si="1"/>
        <v>0</v>
      </c>
      <c r="L102" s="48"/>
      <c r="M102" s="48"/>
      <c r="N102" s="48"/>
      <c r="O102" s="20"/>
      <c r="P102" s="20"/>
    </row>
    <row r="103" spans="1:16" ht="15.75" customHeight="1">
      <c r="A103" s="20"/>
      <c r="B103" s="21"/>
      <c r="C103" s="21"/>
      <c r="D103" s="21"/>
      <c r="E103" s="21"/>
      <c r="F103" s="21"/>
      <c r="G103" s="21"/>
      <c r="H103" s="21"/>
      <c r="I103" s="19"/>
      <c r="J103" s="22"/>
      <c r="K103" s="19">
        <f t="shared" si="1"/>
        <v>0</v>
      </c>
      <c r="L103" s="48"/>
      <c r="M103" s="48"/>
      <c r="N103" s="48"/>
      <c r="O103" s="20"/>
      <c r="P103" s="20"/>
    </row>
    <row r="104" spans="1:16" ht="15.75" customHeight="1">
      <c r="A104" s="20"/>
      <c r="B104" s="21"/>
      <c r="C104" s="21"/>
      <c r="D104" s="21"/>
      <c r="E104" s="21"/>
      <c r="F104" s="21"/>
      <c r="G104" s="21"/>
      <c r="H104" s="21"/>
      <c r="I104" s="19"/>
      <c r="J104" s="22"/>
      <c r="K104" s="19">
        <f t="shared" si="1"/>
        <v>0</v>
      </c>
      <c r="L104" s="48"/>
      <c r="M104" s="48"/>
      <c r="N104" s="48"/>
      <c r="O104" s="20"/>
      <c r="P104" s="20"/>
    </row>
    <row r="105" spans="1:16" ht="15.75" customHeight="1">
      <c r="A105" s="20"/>
      <c r="B105" s="21"/>
      <c r="C105" s="21"/>
      <c r="D105" s="21"/>
      <c r="E105" s="21"/>
      <c r="F105" s="21"/>
      <c r="G105" s="21"/>
      <c r="H105" s="21"/>
      <c r="I105" s="19"/>
      <c r="J105" s="22"/>
      <c r="K105" s="19">
        <f t="shared" si="1"/>
        <v>0</v>
      </c>
      <c r="L105" s="48"/>
      <c r="M105" s="48"/>
      <c r="N105" s="48"/>
      <c r="O105" s="20"/>
      <c r="P105" s="20"/>
    </row>
    <row r="106" spans="1:16" ht="15.75" customHeight="1">
      <c r="A106" s="20"/>
      <c r="B106" s="21"/>
      <c r="C106" s="21"/>
      <c r="D106" s="21"/>
      <c r="E106" s="21"/>
      <c r="F106" s="21"/>
      <c r="G106" s="21"/>
      <c r="H106" s="21"/>
      <c r="I106" s="19"/>
      <c r="J106" s="22"/>
      <c r="K106" s="19">
        <f t="shared" ref="K106:K137" si="2">IF(I106="",0,I106*J106)</f>
        <v>0</v>
      </c>
      <c r="L106" s="48"/>
      <c r="M106" s="48"/>
      <c r="N106" s="48"/>
      <c r="O106" s="20"/>
      <c r="P106" s="20"/>
    </row>
    <row r="107" spans="1:16" ht="15.75" customHeight="1">
      <c r="A107" s="20"/>
      <c r="B107" s="21"/>
      <c r="C107" s="21"/>
      <c r="D107" s="21"/>
      <c r="E107" s="21"/>
      <c r="F107" s="21"/>
      <c r="G107" s="21"/>
      <c r="H107" s="21"/>
      <c r="I107" s="19"/>
      <c r="J107" s="22"/>
      <c r="K107" s="19">
        <f t="shared" si="2"/>
        <v>0</v>
      </c>
      <c r="L107" s="48"/>
      <c r="M107" s="48"/>
      <c r="N107" s="48"/>
      <c r="O107" s="20"/>
      <c r="P107" s="20"/>
    </row>
    <row r="108" spans="1:16" ht="15.75" customHeight="1">
      <c r="A108" s="20"/>
      <c r="B108" s="21"/>
      <c r="C108" s="21"/>
      <c r="D108" s="21"/>
      <c r="E108" s="21"/>
      <c r="F108" s="21"/>
      <c r="G108" s="21"/>
      <c r="H108" s="21"/>
      <c r="I108" s="19"/>
      <c r="J108" s="22"/>
      <c r="K108" s="19">
        <f t="shared" si="2"/>
        <v>0</v>
      </c>
      <c r="L108" s="48"/>
      <c r="M108" s="48"/>
      <c r="N108" s="48"/>
      <c r="O108" s="20"/>
      <c r="P108" s="20"/>
    </row>
    <row r="109" spans="1:16" ht="15.75" customHeight="1">
      <c r="A109" s="20"/>
      <c r="B109" s="21"/>
      <c r="C109" s="21"/>
      <c r="D109" s="21"/>
      <c r="E109" s="21"/>
      <c r="F109" s="21"/>
      <c r="G109" s="21"/>
      <c r="H109" s="21"/>
      <c r="I109" s="19"/>
      <c r="J109" s="22"/>
      <c r="K109" s="19">
        <f t="shared" si="2"/>
        <v>0</v>
      </c>
      <c r="L109" s="48"/>
      <c r="M109" s="48"/>
      <c r="N109" s="48"/>
      <c r="O109" s="20"/>
      <c r="P109" s="20"/>
    </row>
    <row r="110" spans="1:16" ht="15.75" customHeight="1">
      <c r="A110" s="20"/>
      <c r="B110" s="21"/>
      <c r="C110" s="21"/>
      <c r="D110" s="21"/>
      <c r="E110" s="21"/>
      <c r="F110" s="21"/>
      <c r="G110" s="21"/>
      <c r="H110" s="21"/>
      <c r="I110" s="19"/>
      <c r="J110" s="22"/>
      <c r="K110" s="19">
        <f t="shared" si="2"/>
        <v>0</v>
      </c>
      <c r="L110" s="48"/>
      <c r="M110" s="48"/>
      <c r="N110" s="48"/>
      <c r="O110" s="20"/>
      <c r="P110" s="20"/>
    </row>
    <row r="111" spans="1:16" ht="15.75" customHeight="1">
      <c r="A111" s="20"/>
      <c r="B111" s="21"/>
      <c r="C111" s="21"/>
      <c r="D111" s="21"/>
      <c r="E111" s="21"/>
      <c r="F111" s="21"/>
      <c r="G111" s="21"/>
      <c r="H111" s="21"/>
      <c r="I111" s="19"/>
      <c r="J111" s="22"/>
      <c r="K111" s="19">
        <f t="shared" si="2"/>
        <v>0</v>
      </c>
      <c r="L111" s="48"/>
      <c r="M111" s="48"/>
      <c r="N111" s="48"/>
      <c r="O111" s="20"/>
      <c r="P111" s="20"/>
    </row>
    <row r="112" spans="1:16" ht="15.75" customHeight="1">
      <c r="A112" s="20"/>
      <c r="B112" s="21"/>
      <c r="C112" s="21"/>
      <c r="D112" s="21"/>
      <c r="E112" s="21"/>
      <c r="F112" s="21"/>
      <c r="G112" s="21"/>
      <c r="H112" s="21"/>
      <c r="I112" s="19"/>
      <c r="J112" s="22"/>
      <c r="K112" s="19">
        <f t="shared" si="2"/>
        <v>0</v>
      </c>
      <c r="L112" s="48"/>
      <c r="M112" s="48"/>
      <c r="N112" s="48"/>
      <c r="O112" s="20"/>
      <c r="P112" s="20"/>
    </row>
    <row r="113" spans="1:16" ht="15.75" customHeight="1">
      <c r="A113" s="20"/>
      <c r="B113" s="21"/>
      <c r="C113" s="21"/>
      <c r="D113" s="21"/>
      <c r="E113" s="21"/>
      <c r="F113" s="21"/>
      <c r="G113" s="21"/>
      <c r="H113" s="21"/>
      <c r="I113" s="19"/>
      <c r="J113" s="22"/>
      <c r="K113" s="19">
        <f t="shared" si="2"/>
        <v>0</v>
      </c>
      <c r="L113" s="48"/>
      <c r="M113" s="48"/>
      <c r="N113" s="48"/>
      <c r="O113" s="20"/>
      <c r="P113" s="20"/>
    </row>
    <row r="114" spans="1:16" ht="15.75" customHeight="1">
      <c r="A114" s="20"/>
      <c r="B114" s="21"/>
      <c r="C114" s="21"/>
      <c r="D114" s="21"/>
      <c r="E114" s="21"/>
      <c r="F114" s="21"/>
      <c r="G114" s="21"/>
      <c r="H114" s="21"/>
      <c r="I114" s="19"/>
      <c r="J114" s="22"/>
      <c r="K114" s="19">
        <f t="shared" si="2"/>
        <v>0</v>
      </c>
      <c r="L114" s="48"/>
      <c r="M114" s="48"/>
      <c r="N114" s="48"/>
      <c r="O114" s="20"/>
      <c r="P114" s="20"/>
    </row>
    <row r="115" spans="1:16" ht="15.75" customHeight="1">
      <c r="A115" s="20"/>
      <c r="B115" s="21"/>
      <c r="C115" s="21"/>
      <c r="D115" s="21"/>
      <c r="E115" s="21"/>
      <c r="F115" s="21"/>
      <c r="G115" s="21"/>
      <c r="H115" s="21"/>
      <c r="I115" s="19"/>
      <c r="J115" s="22"/>
      <c r="K115" s="19">
        <f t="shared" si="2"/>
        <v>0</v>
      </c>
      <c r="L115" s="48"/>
      <c r="M115" s="48"/>
      <c r="N115" s="48"/>
      <c r="O115" s="20"/>
      <c r="P115" s="20"/>
    </row>
    <row r="116" spans="1:16" ht="15.75" customHeight="1">
      <c r="A116" s="20"/>
      <c r="B116" s="21"/>
      <c r="C116" s="21"/>
      <c r="D116" s="21"/>
      <c r="E116" s="21"/>
      <c r="F116" s="21"/>
      <c r="G116" s="21"/>
      <c r="H116" s="21"/>
      <c r="I116" s="19"/>
      <c r="J116" s="22"/>
      <c r="K116" s="19">
        <f t="shared" si="2"/>
        <v>0</v>
      </c>
      <c r="L116" s="48"/>
      <c r="M116" s="48"/>
      <c r="N116" s="48"/>
      <c r="O116" s="20"/>
      <c r="P116" s="20"/>
    </row>
    <row r="117" spans="1:16" ht="15.75" customHeight="1">
      <c r="A117" s="20"/>
      <c r="B117" s="21"/>
      <c r="C117" s="21"/>
      <c r="D117" s="21"/>
      <c r="E117" s="21"/>
      <c r="F117" s="21"/>
      <c r="G117" s="21"/>
      <c r="H117" s="21"/>
      <c r="I117" s="19"/>
      <c r="J117" s="22"/>
      <c r="K117" s="19">
        <f t="shared" si="2"/>
        <v>0</v>
      </c>
      <c r="L117" s="48"/>
      <c r="M117" s="48"/>
      <c r="N117" s="48"/>
      <c r="O117" s="20"/>
      <c r="P117" s="20"/>
    </row>
    <row r="118" spans="1:16" ht="15.75" customHeight="1">
      <c r="A118" s="20"/>
      <c r="B118" s="21"/>
      <c r="C118" s="21"/>
      <c r="D118" s="21"/>
      <c r="E118" s="21"/>
      <c r="F118" s="21"/>
      <c r="G118" s="21"/>
      <c r="H118" s="21"/>
      <c r="I118" s="19"/>
      <c r="J118" s="22"/>
      <c r="K118" s="19">
        <f t="shared" si="2"/>
        <v>0</v>
      </c>
      <c r="L118" s="48"/>
      <c r="M118" s="48"/>
      <c r="N118" s="48"/>
      <c r="O118" s="20"/>
      <c r="P118" s="20"/>
    </row>
    <row r="119" spans="1:16" ht="15.75" customHeight="1">
      <c r="A119" s="20"/>
      <c r="B119" s="21"/>
      <c r="C119" s="21"/>
      <c r="D119" s="21"/>
      <c r="E119" s="21"/>
      <c r="F119" s="21"/>
      <c r="G119" s="21"/>
      <c r="H119" s="21"/>
      <c r="I119" s="19"/>
      <c r="J119" s="22"/>
      <c r="K119" s="19">
        <f t="shared" si="2"/>
        <v>0</v>
      </c>
      <c r="L119" s="48"/>
      <c r="M119" s="48"/>
      <c r="N119" s="48"/>
      <c r="O119" s="20"/>
      <c r="P119" s="20"/>
    </row>
    <row r="120" spans="1:16" ht="15.75" customHeight="1">
      <c r="A120" s="20"/>
      <c r="B120" s="21"/>
      <c r="C120" s="21"/>
      <c r="D120" s="21"/>
      <c r="E120" s="21"/>
      <c r="F120" s="21"/>
      <c r="G120" s="21"/>
      <c r="H120" s="21"/>
      <c r="I120" s="19"/>
      <c r="J120" s="22"/>
      <c r="K120" s="19">
        <f t="shared" si="2"/>
        <v>0</v>
      </c>
      <c r="L120" s="48"/>
      <c r="M120" s="48"/>
      <c r="N120" s="48"/>
      <c r="O120" s="20"/>
      <c r="P120" s="20"/>
    </row>
    <row r="121" spans="1:16" ht="15.75" customHeight="1">
      <c r="A121" s="20"/>
      <c r="B121" s="21"/>
      <c r="C121" s="21"/>
      <c r="D121" s="21"/>
      <c r="E121" s="21"/>
      <c r="F121" s="21"/>
      <c r="G121" s="21"/>
      <c r="H121" s="21"/>
      <c r="I121" s="19"/>
      <c r="J121" s="22"/>
      <c r="K121" s="19">
        <f t="shared" si="2"/>
        <v>0</v>
      </c>
      <c r="L121" s="48"/>
      <c r="M121" s="48"/>
      <c r="N121" s="48"/>
      <c r="O121" s="20"/>
      <c r="P121" s="20"/>
    </row>
    <row r="122" spans="1:16" ht="15.75" customHeight="1">
      <c r="A122" s="20"/>
      <c r="B122" s="21"/>
      <c r="C122" s="21"/>
      <c r="D122" s="21"/>
      <c r="E122" s="21"/>
      <c r="F122" s="21"/>
      <c r="G122" s="21"/>
      <c r="H122" s="21"/>
      <c r="I122" s="19"/>
      <c r="J122" s="22"/>
      <c r="K122" s="19">
        <f t="shared" si="2"/>
        <v>0</v>
      </c>
      <c r="L122" s="48"/>
      <c r="M122" s="48"/>
      <c r="N122" s="48"/>
      <c r="O122" s="20"/>
      <c r="P122" s="20"/>
    </row>
    <row r="123" spans="1:16" ht="15.75" customHeight="1">
      <c r="A123" s="20"/>
      <c r="B123" s="21"/>
      <c r="C123" s="21"/>
      <c r="D123" s="21"/>
      <c r="E123" s="21"/>
      <c r="F123" s="21"/>
      <c r="G123" s="21"/>
      <c r="H123" s="21"/>
      <c r="I123" s="19"/>
      <c r="J123" s="22"/>
      <c r="K123" s="19">
        <f t="shared" si="2"/>
        <v>0</v>
      </c>
      <c r="L123" s="48"/>
      <c r="M123" s="48"/>
      <c r="N123" s="48"/>
      <c r="O123" s="20"/>
      <c r="P123" s="20"/>
    </row>
    <row r="124" spans="1:16" ht="15.75" customHeight="1">
      <c r="A124" s="20"/>
      <c r="B124" s="21"/>
      <c r="C124" s="21"/>
      <c r="D124" s="21"/>
      <c r="E124" s="21"/>
      <c r="F124" s="21"/>
      <c r="G124" s="21"/>
      <c r="H124" s="21"/>
      <c r="I124" s="19"/>
      <c r="J124" s="22"/>
      <c r="K124" s="19">
        <f t="shared" si="2"/>
        <v>0</v>
      </c>
      <c r="L124" s="48"/>
      <c r="M124" s="48"/>
      <c r="N124" s="48"/>
      <c r="O124" s="20"/>
      <c r="P124" s="20"/>
    </row>
    <row r="125" spans="1:16" ht="15.75" customHeight="1">
      <c r="A125" s="20"/>
      <c r="B125" s="21"/>
      <c r="C125" s="21"/>
      <c r="D125" s="21"/>
      <c r="E125" s="21"/>
      <c r="F125" s="21"/>
      <c r="G125" s="21"/>
      <c r="H125" s="21"/>
      <c r="I125" s="19"/>
      <c r="J125" s="22"/>
      <c r="K125" s="19">
        <f t="shared" si="2"/>
        <v>0</v>
      </c>
      <c r="L125" s="48"/>
      <c r="M125" s="48"/>
      <c r="N125" s="48"/>
      <c r="O125" s="20"/>
      <c r="P125" s="20"/>
    </row>
    <row r="126" spans="1:16" ht="15.75" customHeight="1">
      <c r="A126" s="20"/>
      <c r="B126" s="21"/>
      <c r="C126" s="21"/>
      <c r="D126" s="21"/>
      <c r="E126" s="21"/>
      <c r="F126" s="21"/>
      <c r="G126" s="21"/>
      <c r="H126" s="21"/>
      <c r="I126" s="19"/>
      <c r="J126" s="22"/>
      <c r="K126" s="19">
        <f t="shared" si="2"/>
        <v>0</v>
      </c>
      <c r="L126" s="48"/>
      <c r="M126" s="48"/>
      <c r="N126" s="48"/>
      <c r="O126" s="20"/>
      <c r="P126" s="20"/>
    </row>
    <row r="127" spans="1:16" ht="15.75" customHeight="1">
      <c r="A127" s="20"/>
      <c r="B127" s="21"/>
      <c r="C127" s="21"/>
      <c r="D127" s="21"/>
      <c r="E127" s="21"/>
      <c r="F127" s="21"/>
      <c r="G127" s="21"/>
      <c r="H127" s="21"/>
      <c r="I127" s="19"/>
      <c r="J127" s="22"/>
      <c r="K127" s="19">
        <f t="shared" si="2"/>
        <v>0</v>
      </c>
      <c r="L127" s="48"/>
      <c r="M127" s="48"/>
      <c r="N127" s="48"/>
      <c r="O127" s="20"/>
      <c r="P127" s="20"/>
    </row>
    <row r="128" spans="1:16" ht="15.75" customHeight="1">
      <c r="A128" s="20"/>
      <c r="B128" s="21"/>
      <c r="C128" s="21"/>
      <c r="D128" s="21"/>
      <c r="E128" s="21"/>
      <c r="F128" s="21"/>
      <c r="G128" s="21"/>
      <c r="H128" s="21"/>
      <c r="I128" s="19"/>
      <c r="J128" s="22"/>
      <c r="K128" s="19">
        <f t="shared" si="2"/>
        <v>0</v>
      </c>
      <c r="L128" s="48"/>
      <c r="M128" s="48"/>
      <c r="N128" s="48"/>
      <c r="O128" s="20"/>
      <c r="P128" s="20"/>
    </row>
    <row r="129" spans="1:16" ht="15.75" customHeight="1">
      <c r="A129" s="20"/>
      <c r="B129" s="21"/>
      <c r="C129" s="21"/>
      <c r="D129" s="21"/>
      <c r="E129" s="21"/>
      <c r="F129" s="21"/>
      <c r="G129" s="21"/>
      <c r="H129" s="21"/>
      <c r="I129" s="19"/>
      <c r="J129" s="22"/>
      <c r="K129" s="19">
        <f t="shared" si="2"/>
        <v>0</v>
      </c>
      <c r="L129" s="48"/>
      <c r="M129" s="48"/>
      <c r="N129" s="48"/>
      <c r="O129" s="20"/>
      <c r="P129" s="20"/>
    </row>
    <row r="130" spans="1:16" ht="15.75" customHeight="1">
      <c r="A130" s="20"/>
      <c r="B130" s="21"/>
      <c r="C130" s="21"/>
      <c r="D130" s="21"/>
      <c r="E130" s="21"/>
      <c r="F130" s="21"/>
      <c r="G130" s="21"/>
      <c r="H130" s="21"/>
      <c r="I130" s="19"/>
      <c r="J130" s="22"/>
      <c r="K130" s="19">
        <f t="shared" si="2"/>
        <v>0</v>
      </c>
      <c r="L130" s="48"/>
      <c r="M130" s="48"/>
      <c r="N130" s="48"/>
      <c r="O130" s="20"/>
      <c r="P130" s="20"/>
    </row>
    <row r="131" spans="1:16" ht="15.75" customHeight="1">
      <c r="A131" s="20"/>
      <c r="B131" s="21"/>
      <c r="C131" s="21"/>
      <c r="D131" s="21"/>
      <c r="E131" s="21"/>
      <c r="F131" s="21"/>
      <c r="G131" s="21"/>
      <c r="H131" s="21"/>
      <c r="I131" s="19"/>
      <c r="J131" s="22"/>
      <c r="K131" s="19">
        <f t="shared" si="2"/>
        <v>0</v>
      </c>
      <c r="L131" s="48"/>
      <c r="M131" s="48"/>
      <c r="N131" s="48"/>
      <c r="O131" s="20"/>
      <c r="P131" s="20"/>
    </row>
    <row r="132" spans="1:16" ht="15.75" customHeight="1">
      <c r="A132" s="20"/>
      <c r="B132" s="21"/>
      <c r="C132" s="21"/>
      <c r="D132" s="21"/>
      <c r="E132" s="21"/>
      <c r="F132" s="21"/>
      <c r="G132" s="21"/>
      <c r="H132" s="21"/>
      <c r="I132" s="19"/>
      <c r="J132" s="22"/>
      <c r="K132" s="19">
        <f t="shared" si="2"/>
        <v>0</v>
      </c>
      <c r="L132" s="48"/>
      <c r="M132" s="48"/>
      <c r="N132" s="48"/>
      <c r="O132" s="20"/>
      <c r="P132" s="20"/>
    </row>
    <row r="133" spans="1:16" ht="15.75" customHeight="1">
      <c r="A133" s="20"/>
      <c r="B133" s="21"/>
      <c r="C133" s="21"/>
      <c r="D133" s="21"/>
      <c r="E133" s="21"/>
      <c r="F133" s="21"/>
      <c r="G133" s="21"/>
      <c r="H133" s="21"/>
      <c r="I133" s="19"/>
      <c r="J133" s="22"/>
      <c r="K133" s="19">
        <f t="shared" si="2"/>
        <v>0</v>
      </c>
      <c r="L133" s="48"/>
      <c r="M133" s="48"/>
      <c r="N133" s="48"/>
      <c r="O133" s="20"/>
      <c r="P133" s="20"/>
    </row>
    <row r="134" spans="1:16" ht="15.75" customHeight="1">
      <c r="A134" s="20"/>
      <c r="B134" s="21"/>
      <c r="C134" s="21"/>
      <c r="D134" s="21"/>
      <c r="E134" s="21"/>
      <c r="F134" s="21"/>
      <c r="G134" s="21"/>
      <c r="H134" s="21"/>
      <c r="I134" s="19"/>
      <c r="J134" s="22"/>
      <c r="K134" s="19">
        <f t="shared" si="2"/>
        <v>0</v>
      </c>
      <c r="L134" s="48"/>
      <c r="M134" s="48"/>
      <c r="N134" s="48"/>
      <c r="O134" s="20"/>
      <c r="P134" s="20"/>
    </row>
    <row r="135" spans="1:16" ht="15.75" customHeight="1">
      <c r="A135" s="20"/>
      <c r="B135" s="21"/>
      <c r="C135" s="21"/>
      <c r="D135" s="21"/>
      <c r="E135" s="21"/>
      <c r="F135" s="21"/>
      <c r="G135" s="21"/>
      <c r="H135" s="21"/>
      <c r="I135" s="19"/>
      <c r="J135" s="22"/>
      <c r="K135" s="19">
        <f t="shared" si="2"/>
        <v>0</v>
      </c>
      <c r="L135" s="48"/>
      <c r="M135" s="48"/>
      <c r="N135" s="48"/>
      <c r="O135" s="20"/>
      <c r="P135" s="20"/>
    </row>
    <row r="136" spans="1:16" ht="15.75" customHeight="1">
      <c r="A136" s="20"/>
      <c r="B136" s="21"/>
      <c r="C136" s="21"/>
      <c r="D136" s="21"/>
      <c r="E136" s="21"/>
      <c r="F136" s="21"/>
      <c r="G136" s="21"/>
      <c r="H136" s="21"/>
      <c r="I136" s="19"/>
      <c r="J136" s="22"/>
      <c r="K136" s="19">
        <f t="shared" si="2"/>
        <v>0</v>
      </c>
      <c r="L136" s="48"/>
      <c r="M136" s="48"/>
      <c r="N136" s="48"/>
      <c r="O136" s="20"/>
      <c r="P136" s="20"/>
    </row>
    <row r="137" spans="1:16" ht="15.75" customHeight="1">
      <c r="A137" s="20"/>
      <c r="B137" s="21"/>
      <c r="C137" s="21"/>
      <c r="D137" s="21"/>
      <c r="E137" s="21"/>
      <c r="F137" s="21"/>
      <c r="G137" s="21"/>
      <c r="H137" s="21"/>
      <c r="I137" s="19"/>
      <c r="J137" s="22"/>
      <c r="K137" s="19">
        <f t="shared" si="2"/>
        <v>0</v>
      </c>
      <c r="L137" s="48"/>
      <c r="M137" s="48"/>
      <c r="N137" s="48"/>
      <c r="O137" s="20"/>
      <c r="P137" s="20"/>
    </row>
    <row r="138" spans="1:16" ht="15.75" customHeight="1">
      <c r="A138" s="20"/>
      <c r="B138" s="21"/>
      <c r="C138" s="21"/>
      <c r="D138" s="21"/>
      <c r="E138" s="21"/>
      <c r="F138" s="21"/>
      <c r="G138" s="21"/>
      <c r="H138" s="21"/>
      <c r="I138" s="19"/>
      <c r="J138" s="22"/>
      <c r="K138" s="19">
        <f t="shared" ref="K138:K141" si="3">IF(I138="",0,I138*J138)</f>
        <v>0</v>
      </c>
      <c r="L138" s="48"/>
      <c r="M138" s="48"/>
      <c r="N138" s="48"/>
      <c r="O138" s="20"/>
      <c r="P138" s="20"/>
    </row>
    <row r="139" spans="1:16" ht="15.75" customHeight="1">
      <c r="A139" s="20"/>
      <c r="B139" s="21"/>
      <c r="C139" s="21"/>
      <c r="D139" s="21"/>
      <c r="E139" s="21"/>
      <c r="F139" s="21"/>
      <c r="G139" s="21"/>
      <c r="H139" s="21"/>
      <c r="I139" s="19"/>
      <c r="J139" s="22"/>
      <c r="K139" s="19">
        <f t="shared" si="3"/>
        <v>0</v>
      </c>
      <c r="L139" s="48"/>
      <c r="M139" s="48"/>
      <c r="N139" s="48"/>
      <c r="O139" s="20"/>
      <c r="P139" s="20"/>
    </row>
    <row r="140" spans="1:16" ht="15.75" customHeight="1">
      <c r="A140" s="20"/>
      <c r="B140" s="21"/>
      <c r="C140" s="21"/>
      <c r="D140" s="21"/>
      <c r="E140" s="21"/>
      <c r="F140" s="21"/>
      <c r="G140" s="21"/>
      <c r="H140" s="21"/>
      <c r="I140" s="19"/>
      <c r="J140" s="22"/>
      <c r="K140" s="19">
        <f t="shared" si="3"/>
        <v>0</v>
      </c>
      <c r="L140" s="48"/>
      <c r="M140" s="48"/>
      <c r="N140" s="48"/>
      <c r="O140" s="20"/>
      <c r="P140" s="20"/>
    </row>
    <row r="141" spans="1:16" ht="15.75" customHeight="1">
      <c r="A141" s="20"/>
      <c r="B141" s="21"/>
      <c r="C141" s="21"/>
      <c r="D141" s="21"/>
      <c r="E141" s="21"/>
      <c r="F141" s="21"/>
      <c r="G141" s="21"/>
      <c r="H141" s="21"/>
      <c r="I141" s="19"/>
      <c r="J141" s="22"/>
      <c r="K141" s="19">
        <f t="shared" si="3"/>
        <v>0</v>
      </c>
      <c r="L141" s="48"/>
      <c r="M141" s="48"/>
      <c r="N141" s="48"/>
      <c r="O141" s="20"/>
      <c r="P141" s="20"/>
    </row>
    <row r="142" spans="1:16" ht="15.75" customHeight="1"/>
    <row r="143" spans="1:16" ht="15.75" customHeight="1"/>
    <row r="144" spans="1:16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M5:P5"/>
    <mergeCell ref="A5:D5"/>
    <mergeCell ref="A17:P17"/>
    <mergeCell ref="A1:P2"/>
    <mergeCell ref="F15:P15"/>
    <mergeCell ref="A9:P9"/>
    <mergeCell ref="E6:H7"/>
    <mergeCell ref="A4:P4"/>
    <mergeCell ref="I6:L7"/>
    <mergeCell ref="M6:P7"/>
    <mergeCell ref="F14:P14"/>
    <mergeCell ref="A6:D7"/>
    <mergeCell ref="E5:H5"/>
    <mergeCell ref="I5:L5"/>
  </mergeCells>
  <dataValidations count="7">
    <dataValidation type="list" allowBlank="1" sqref="C42:C141">
      <formula1>'⚙ Control Panel'!$E$5:$E$6</formula1>
    </dataValidation>
    <dataValidation type="list" allowBlank="1" sqref="F42:F141">
      <formula1>'⚙ Control Panel'!$C$14:$C$18</formula1>
    </dataValidation>
    <dataValidation type="list" allowBlank="1" sqref="G42:G141">
      <formula1>'⚙ Control Panel'!$E$14:$E$16</formula1>
    </dataValidation>
    <dataValidation type="list" allowBlank="1" sqref="E42:E141">
      <formula1>'⚙ Control Panel'!$A$14:$A$16</formula1>
    </dataValidation>
    <dataValidation type="list" allowBlank="1" sqref="D42:D141">
      <formula1>'⚙ Control Panel'!$G$5:$G$7</formula1>
    </dataValidation>
    <dataValidation type="list" allowBlank="1" sqref="B42:B141">
      <formula1>'⚙ Control Panel'!$C$5:$C$10</formula1>
    </dataValidation>
    <dataValidation type="list" allowBlank="1" sqref="H42:H141">
      <formula1>'⚙ Control Panel'!$G$14:$G$17</formula1>
    </dataValidation>
  </dataValidations>
  <pageMargins left="0.75" right="0.75" top="1" bottom="1" header="0" footer="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G2:I61"/>
  <sheetViews>
    <sheetView tabSelected="1" topLeftCell="A37" workbookViewId="0">
      <selection activeCell="K64" sqref="K64"/>
    </sheetView>
  </sheetViews>
  <sheetFormatPr defaultRowHeight="14.4"/>
  <cols>
    <col min="7" max="7" width="23.88671875" style="32" customWidth="1"/>
    <col min="8" max="8" width="12.44140625" style="32" customWidth="1"/>
    <col min="9" max="9" width="18.6640625" style="32" customWidth="1"/>
  </cols>
  <sheetData>
    <row r="2" spans="7:9">
      <c r="G2" t="s">
        <v>401</v>
      </c>
      <c r="H2" s="28" t="s">
        <v>402</v>
      </c>
      <c r="I2" s="28" t="s">
        <v>403</v>
      </c>
    </row>
    <row r="3" spans="7:9">
      <c r="H3" s="29" t="s">
        <v>5</v>
      </c>
      <c r="I3" s="29">
        <v>120</v>
      </c>
    </row>
    <row r="4" spans="7:9">
      <c r="H4" s="29" t="s">
        <v>9</v>
      </c>
      <c r="I4" s="29">
        <v>10</v>
      </c>
    </row>
    <row r="5" spans="7:9">
      <c r="H5" s="29" t="s">
        <v>13</v>
      </c>
      <c r="I5" s="29">
        <v>25</v>
      </c>
    </row>
    <row r="6" spans="7:9">
      <c r="H6" s="29" t="s">
        <v>16</v>
      </c>
      <c r="I6" s="29">
        <v>8</v>
      </c>
    </row>
    <row r="7" spans="7:9">
      <c r="H7" s="30" t="s">
        <v>404</v>
      </c>
      <c r="I7" s="30">
        <v>163</v>
      </c>
    </row>
    <row r="9" spans="7:9">
      <c r="G9" t="s">
        <v>405</v>
      </c>
      <c r="H9" s="29" t="s">
        <v>5</v>
      </c>
      <c r="I9" s="29">
        <v>120</v>
      </c>
    </row>
    <row r="15" spans="7:9">
      <c r="G15" s="67" t="s">
        <v>406</v>
      </c>
    </row>
    <row r="17" spans="7:7">
      <c r="G17" s="67"/>
    </row>
    <row r="31" spans="7:7" ht="18">
      <c r="G31" s="68" t="s">
        <v>407</v>
      </c>
    </row>
    <row r="32" spans="7:7">
      <c r="G32"/>
    </row>
    <row r="33" spans="7:7" ht="15">
      <c r="G33" s="67" t="s">
        <v>408</v>
      </c>
    </row>
    <row r="34" spans="7:7">
      <c r="G34" s="69"/>
    </row>
    <row r="35" spans="7:7" ht="15">
      <c r="G35" s="70" t="s">
        <v>409</v>
      </c>
    </row>
    <row r="36" spans="7:7" ht="15">
      <c r="G36" s="70" t="s">
        <v>410</v>
      </c>
    </row>
    <row r="37" spans="7:7" ht="15">
      <c r="G37" s="71" t="s">
        <v>411</v>
      </c>
    </row>
    <row r="38" spans="7:7" ht="15">
      <c r="G38" s="72" t="s">
        <v>412</v>
      </c>
    </row>
    <row r="42" spans="7:7">
      <c r="G42" s="73" t="s">
        <v>413</v>
      </c>
    </row>
    <row r="57" spans="7:7">
      <c r="G57" s="67" t="s">
        <v>414</v>
      </c>
    </row>
    <row r="58" spans="7:7">
      <c r="G58" s="67" t="s">
        <v>415</v>
      </c>
    </row>
    <row r="59" spans="7:7">
      <c r="G59" s="67" t="s">
        <v>416</v>
      </c>
    </row>
    <row r="60" spans="7:7">
      <c r="G60" s="67" t="s">
        <v>417</v>
      </c>
    </row>
    <row r="61" spans="7:7">
      <c r="G61" s="74" t="s">
        <v>418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⚙ Control Panel</vt:lpstr>
      <vt:lpstr>📈 Summary Dashboard</vt:lpstr>
      <vt:lpstr>👤 Mew</vt:lpstr>
      <vt:lpstr>👤 Napat</vt:lpstr>
      <vt:lpstr>👤 Tan</vt:lpstr>
      <vt:lpstr>👤 Aoey</vt:lpstr>
      <vt:lpstr>👤 Other Sales</vt:lpstr>
      <vt:lpstr>นำเข้า</vt:lpstr>
      <vt:lpstr>'👤 Mew'!Print_Titles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PARMAN</dc:creator>
  <cp:lastModifiedBy>PARMAN</cp:lastModifiedBy>
  <cp:lastPrinted>2026-08-21T04:16:20Z</cp:lastPrinted>
  <dcterms:created xsi:type="dcterms:W3CDTF">2026-07-21T06:43:49Z</dcterms:created>
  <dcterms:modified xsi:type="dcterms:W3CDTF">2026-09-09T09:24:02Z</dcterms:modified>
</cp:coreProperties>
</file>